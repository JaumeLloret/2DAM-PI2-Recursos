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547c98c53154cad" /></Relationships>
</file>

<file path=xl/workbook.xml><?xml version="1.0" encoding="utf-8"?>
<x:workbook xmlns:x="http://schemas.openxmlformats.org/spreadsheetml/2006/main">
  <x:sheets>
    <x:sheet xmlns:r="http://schemas.openxmlformats.org/officeDocument/2006/relationships" name="00 Contrato" sheetId="1" r:id="Re808187cd6604fa6"/>
    <x:sheet xmlns:r="http://schemas.openxmlformats.org/officeDocument/2006/relationships" name="01 PI II" sheetId="2" r:id="R4f4ca0ee39164a7b"/>
    <x:sheet xmlns:r="http://schemas.openxmlformats.org/officeDocument/2006/relationships" name="02 AD" sheetId="3" r:id="R2d79308cd72d4590"/>
    <x:sheet xmlns:r="http://schemas.openxmlformats.org/officeDocument/2006/relationships" name="03 PMDM" sheetId="4" r:id="Rba3659c4b9e74a69"/>
    <x:sheet xmlns:r="http://schemas.openxmlformats.org/officeDocument/2006/relationships" name="04 Hitos" sheetId="5" r:id="R2b1e9819021a4321"/>
    <x:sheet xmlns:r="http://schemas.openxmlformats.org/officeDocument/2006/relationships" name="99 Guía" sheetId="6" r:id="R6aa065da43884f71"/>
    <x:sheet xmlns:r="http://schemas.openxmlformats.org/officeDocument/2006/relationships" name="05 DI" sheetId="7" r:id="Ra35f1e510b92477a"/>
    <x:sheet xmlns:r="http://schemas.openxmlformats.org/officeDocument/2006/relationships" name="06 PSP" sheetId="8" r:id="R72fff220981444db"/>
    <x:sheet xmlns:r="http://schemas.openxmlformats.org/officeDocument/2006/relationships" name="07 SGE" sheetId="9" r:id="R8de2fd98c9934b1e"/>
    <x:sheet xmlns:r="http://schemas.openxmlformats.org/officeDocument/2006/relationships" name="08 Nube" sheetId="10" r:id="R0574a93e778d45b3"/>
    <x:sheet xmlns:r="http://schemas.openxmlformats.org/officeDocument/2006/relationships" name="09 Digital" sheetId="11" r:id="Rea01c728c79c4e8b"/>
    <x:sheet xmlns:r="http://schemas.openxmlformats.org/officeDocument/2006/relationships" name="10 Sostenib" sheetId="12" r:id="R9e86f924997d4ee9"/>
    <x:sheet xmlns:r="http://schemas.openxmlformats.org/officeDocument/2006/relationships" name="11 IPE II" sheetId="13" r:id="Rcd4403c33442418e"/>
    <x:sheet xmlns:r="http://schemas.openxmlformats.org/officeDocument/2006/relationships" name="12 Reparto" sheetId="14" r:id="R369dc4ef1a6c4320"/>
    <x:sheet xmlns:r="http://schemas.openxmlformats.org/officeDocument/2006/relationships" name="13 Itinerarios" sheetId="15" r:id="R9147a80aaca745c8"/>
    <x:sheet xmlns:r="http://schemas.openxmlformats.org/officeDocument/2006/relationships" name="14 Auditoría" sheetId="16" r:id="Rc1c79a2e03f141cf"/>
    <x:sheet xmlns:r="http://schemas.openxmlformats.org/officeDocument/2006/relationships" name="15 Vertical mínimo" sheetId="17" r:id="Ra060a5ee3f404aff"/>
    <x:sheet xmlns:r="http://schemas.openxmlformats.org/officeDocument/2006/relationships" name="16 Contrato firma" sheetId="18" r:id="R8f7775db70284d8b"/>
    <x:sheet xmlns:r="http://schemas.openxmlformats.org/officeDocument/2006/relationships" name="17 Cambios" sheetId="19" r:id="R9fa8e70fca6046f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18">
    <x:font>
      <x:sz val="11"/>
      <x:name val="Carlito"/>
    </x:font>
    <x:font>
      <x:b/>
      <x:sz val="16"/>
      <x:color rgb="FFFFFFFF"/>
      <x:name val="Carlito"/>
    </x:font>
    <x:font>
      <x:b/>
      <x:sz val="11"/>
      <x:color rgb="FFFFFFFF"/>
      <x:name val="Carlito"/>
    </x:font>
    <x:font>
      <x:i/>
      <x:sz val="11"/>
      <x:color rgb="FF1F1F1F"/>
      <x:name val="Carlito"/>
    </x:font>
    <x:font>
      <x:i/>
      <x:sz val="11"/>
      <x:name val="Carlito"/>
    </x:font>
    <x:font>
      <x:b/>
      <x:sz val="11"/>
      <x:name val="Carlito"/>
    </x:font>
    <x:font>
      <x:i/>
      <x:sz val="11"/>
      <x:color rgb="FF404040"/>
      <x:name val="Carlito"/>
    </x:font>
    <x:font>
      <x:b/>
      <x:sz val="11"/>
      <x:color rgb="FF9C5700"/>
      <x:name val="Carlito"/>
    </x:font>
    <x:font>
      <x:i/>
      <x:sz val="10"/>
      <x:color rgb="FF404040"/>
      <x:name val="Carlito"/>
    </x:font>
    <x:font>
      <x:b/>
      <x:sz val="9"/>
      <x:color rgb="FFFFFFFF"/>
      <x:name val="Carlito"/>
    </x:font>
    <x:font>
      <x:b/>
      <x:sz val="18"/>
      <x:color rgb="FFFFFFFF"/>
      <x:name val="Carlito"/>
    </x:font>
    <x:font>
      <x:b/>
      <x:i/>
      <x:sz val="18"/>
      <x:color rgb="FFFFFFFF"/>
      <x:name val="Carlito"/>
    </x:font>
    <x:font>
      <x:sz val="11"/>
      <x:color rgb="FF000000"/>
      <x:name val="Carlito"/>
    </x:font>
    <x:font>
      <x:b/>
      <x:sz val="11"/>
      <x:color rgb="FF000000"/>
      <x:name val="Carlito"/>
    </x:font>
    <x:font>
      <x:b/>
      <x:i/>
      <x:sz val="18"/>
      <x:color rgb="FF1F4E78"/>
      <x:name val="Carlito"/>
    </x:font>
    <x:font>
      <x:b/>
      <x:sz val="15"/>
      <x:color rgb="FFFFFFFF"/>
      <x:name val="Carlito"/>
    </x:font>
    <x:font>
      <x:sz val="11"/>
      <x:color rgb="FF0000FF"/>
      <x:name val="Carlito"/>
    </x:font>
    <x:font>
      <x:b/>
      <x:sz val="11"/>
      <x:color rgb="FF1F4E78"/>
      <x:name val="Carlito"/>
    </x:font>
  </x:fonts>
  <x:fills count="24">
    <x:fill>
      <x:patternFill patternType="none"/>
    </x:fill>
    <x:fill>
      <x:patternFill patternType="gray125"/>
    </x:fill>
    <x:fill>
      <x:patternFill patternType="solid">
        <x:fgColor rgb="FF17365D"/>
      </x:patternFill>
    </x:fill>
    <x:fill>
      <x:patternFill patternType="solid">
        <x:fgColor rgb="FFE7E6E6"/>
      </x:patternFill>
    </x:fill>
    <x:fill>
      <x:patternFill patternType="solid">
        <x:fgColor rgb="FFD9EAF7"/>
      </x:patternFill>
    </x:fill>
    <x:fill>
      <x:patternFill patternType="solid">
        <x:fgColor rgb="FFDDEBF7"/>
      </x:patternFill>
    </x:fill>
    <x:fill>
      <x:patternFill patternType="solid">
        <x:fgColor rgb="FFFFF2CC"/>
      </x:patternFill>
    </x:fill>
    <x:fill>
      <x:patternFill patternType="solid">
        <x:fgColor rgb="FF1F4E78"/>
      </x:patternFill>
    </x:fill>
    <x:fill>
      <x:patternFill patternType="solid">
        <x:fgColor rgb="FF1F4E78"/>
      </x:patternFill>
    </x:fill>
    <x:fill>
      <x:patternFill patternType="solid">
        <x:fgColor rgb="FFEAF3F8"/>
      </x:patternFill>
    </x:fill>
    <x:fill>
      <x:patternFill patternType="solid">
        <x:fgColor rgb="FF2F849F"/>
      </x:patternFill>
    </x:fill>
    <x:fill>
      <x:patternFill patternType="solid">
        <x:fgColor rgb="FFFFF2CC"/>
      </x:patternFill>
    </x:fill>
    <x:fill>
      <x:patternFill patternType="solid">
        <x:fgColor rgb="FFE7E6E6"/>
      </x:patternFill>
    </x:fill>
    <x:fill>
      <x:patternFill patternType="solid">
        <x:fgColor rgb="FFE2F0D9"/>
      </x:patternFill>
    </x:fill>
    <x:fill>
      <x:patternFill patternType="solid">
        <x:fgColor rgb="FFFFFFFF"/>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2E86A1"/>
      </x:patternFill>
    </x:fill>
    <x:fill>
      <x:patternFill patternType="solid">
        <x:fgColor rgb="FFE7E6E6"/>
      </x:patternFill>
    </x:fill>
    <x:fill>
      <x:patternFill patternType="solid">
        <x:fgColor rgb="FFFFF2CC"/>
      </x:patternFill>
    </x:fill>
    <x:fill>
      <x:patternFill patternType="solid">
        <x:fgColor rgb="FFE7E6E6"/>
      </x:patternFill>
    </x:fill>
    <x:fill>
      <x:patternFill patternType="solid">
        <x:fgColor rgb="FFFFF2CC"/>
      </x:patternFill>
    </x:fill>
    <x:fill>
      <x:patternFill patternType="solid">
        <x:fgColor rgb="FF1F4E78"/>
      </x:patternFill>
    </x:fill>
  </x:fills>
  <x:borders count="2">
    <x:border/>
    <x:border/>
  </x:borders>
  <x:cellStyleXfs count="1">
    <x:xf numFmtId="0" fontId="0" fillId="0" borderId="0"/>
  </x:cellStyleXfs>
  <x:cellXfs count="24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200" fontId="0" fillId="3" borderId="0" xfId="0" applyNumberFormat="1" applyFont="1" applyFill="1" applyBorder="1"/>
    <x:xf numFmtId="200" fontId="0" fillId="3" borderId="1" xfId="0" applyNumberFormat="1" applyFont="1" applyFill="1" applyBorder="1"/>
    <x:xf numFmtId="200" fontId="0" fillId="3" borderId="0" xfId="0" applyNumberFormat="1" applyFont="1" applyFill="1" applyBorder="1" applyAlignment="1">
      <x:alignment wrapText="1"/>
    </x:xf>
    <x:xf numFmtId="200" fontId="0" fillId="3"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2" fillId="5" borderId="0" xfId="0" applyNumberFormat="1" applyFont="1" applyFill="1" applyBorder="1" applyAlignment="1">
      <x:alignment horizontal="center" vertical="center" wrapText="1"/>
    </x:xf>
    <x:xf numFmtId="0" fontId="0" fillId="5" borderId="0" xfId="0" applyNumberFormat="1" applyFont="1" applyFill="1" applyBorder="1" applyAlignment="1">
      <x:alignment wrapText="1"/>
    </x:xf>
    <x:xf numFmtId="0" fontId="2" fillId="5" borderId="1" xfId="0" applyNumberFormat="1" applyFont="1" applyFill="1" applyBorder="1" applyAlignment="1">
      <x:alignment horizontal="center" vertical="center" wrapText="1"/>
    </x:xf>
    <x:xf numFmtId="0" fontId="0" fillId="5" borderId="1" xfId="0" applyNumberFormat="1" applyFont="1" applyFill="1" applyBorder="1" applyAlignment="1">
      <x:alignment wrapText="1"/>
    </x:xf>
    <x:xf numFmtId="0" fontId="0" fillId="6" borderId="0" xfId="0" applyNumberFormat="1" applyFont="1" applyFill="1" applyBorder="1" applyAlignment="1">
      <x:alignment wrapText="1"/>
    </x:xf>
    <x:xf numFmtId="200" fontId="0" fillId="6" borderId="0" xfId="0" applyNumberFormat="1" applyFont="1" applyFill="1" applyBorder="1" applyAlignment="1">
      <x:alignment wrapText="1"/>
    </x:xf>
    <x:xf numFmtId="0" fontId="0" fillId="6" borderId="1" xfId="0" applyNumberFormat="1" applyFont="1" applyFill="1" applyBorder="1" applyAlignment="1">
      <x:alignment wrapText="1"/>
    </x:xf>
    <x:xf numFmtId="200" fontId="0" fillId="6" borderId="1" xfId="0" applyNumberFormat="1" applyFont="1" applyFill="1" applyBorder="1" applyAlignment="1">
      <x:alignment wrapText="1"/>
    </x:xf>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1" xfId="0" applyNumberFormat="1" applyFont="1" applyFill="1" applyBorder="1"/>
    <x:xf numFmtId="0" fontId="4" fillId="4" borderId="1" xfId="0" applyNumberFormat="1" applyFont="1" applyFill="1" applyBorder="1" applyAlignment="1">
      <x:alignment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vertical="center"/>
    </x:xf>
    <x:xf numFmtId="0" fontId="0" fillId="7" borderId="1" xfId="0" applyNumberFormat="1" applyFont="1" applyFill="1" applyBorder="1"/>
    <x:xf numFmtId="0" fontId="2" fillId="7" borderId="1" xfId="0" applyNumberFormat="1" applyFont="1" applyFill="1" applyBorder="1"/>
    <x:xf numFmtId="0" fontId="2" fillId="7" borderId="1" xfId="0" applyNumberFormat="1" applyFont="1" applyFill="1" applyBorder="1" applyAlignment="1">
      <x:alignment vertical="center"/>
    </x:xf>
    <x:xf numFmtId="0" fontId="0" fillId="6" borderId="0" xfId="0" applyNumberFormat="1" applyFont="1" applyFill="1" applyBorder="1"/>
    <x:xf numFmtId="0" fontId="5" fillId="6" borderId="0" xfId="0" applyNumberFormat="1" applyFont="1" applyFill="1" applyBorder="1"/>
    <x:xf numFmtId="0" fontId="0" fillId="6" borderId="1" xfId="0" applyNumberFormat="1" applyFont="1" applyFill="1" applyBorder="1"/>
    <x:xf numFmtId="0" fontId="5" fillId="6" borderId="1" xfId="0" applyNumberFormat="1" applyFont="1" applyFill="1" applyBorder="1"/>
    <x:xf numFmtId="200" fontId="0" fillId="6" borderId="0" xfId="0" applyNumberFormat="1" applyFont="1" applyFill="1" applyBorder="1"/>
    <x:xf numFmtId="200" fontId="5" fillId="6" borderId="0" xfId="0" applyNumberFormat="1" applyFont="1" applyFill="1" applyBorder="1"/>
    <x:xf numFmtId="200" fontId="0" fillId="6" borderId="1" xfId="0" applyNumberFormat="1" applyFont="1" applyFill="1" applyBorder="1"/>
    <x:xf numFmtId="200" fontId="5" fillId="6" borderId="1" xfId="0" applyNumberFormat="1" applyFont="1" applyFill="1" applyBorder="1"/>
    <x:xf numFmtId="0" fontId="5" fillId="6" borderId="0" xfId="0" applyNumberFormat="1" applyFont="1" applyFill="1" applyBorder="1" applyAlignment="1">
      <x:alignment wrapText="1"/>
    </x:xf>
    <x:xf numFmtId="0" fontId="0" fillId="0" borderId="0" xfId="0" applyNumberFormat="1" applyFont="1" applyFill="1" applyBorder="1"/>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horizontal="center"/>
    </x:xf>
    <x:xf numFmtId="0" fontId="1" fillId="8" borderId="0" xfId="0" applyNumberFormat="1" applyFont="1" applyFill="1" applyBorder="1" applyAlignment="1">
      <x:alignment horizontal="center" vertic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horizontal="center" wrapText="1"/>
    </x:xf>
    <x:xf numFmtId="0" fontId="2" fillId="10" borderId="0" xfId="0" applyNumberFormat="1" applyFont="1" applyFill="1" applyBorder="1" applyAlignment="1">
      <x:alignment horizontal="center" vertical="center" wrapText="1"/>
    </x:xf>
    <x:xf numFmtId="0" fontId="0" fillId="11" borderId="0" xfId="0" applyNumberFormat="1" applyFont="1" applyFill="1" applyBorder="1"/>
    <x:xf numFmtId="0" fontId="7" fillId="11" borderId="0" xfId="0" applyNumberFormat="1" applyFont="1" applyFill="1" applyBorder="1"/>
    <x:xf numFmtId="0" fontId="7" fillId="11" borderId="0" xfId="0" applyNumberFormat="1" applyFont="1" applyFill="1" applyBorder="1" applyAlignment="1">
      <x:alignment wrapText="1"/>
    </x:xf>
    <x:xf numFmtId="0" fontId="2" fillId="10" xfId="0" applyNumberFormat="1" applyFont="1" applyFill="1" applyBorder="0" applyAlignment="1">
      <x:alignment horizontal="center" vertical="center" wrapText="1"/>
    </x:xf>
    <x:xf numFmtId="0" fontId="0" fillId="0" xfId="0" applyNumberFormat="1" applyFont="1" applyFill="1" applyBorder="0"/>
    <x:xf numFmtId="0" fontId="1" fillId="8" borderId="0" xfId="0" applyNumberFormat="1" applyFont="1" applyFill="1" applyBorder="1" applyAlignment="1">
      <x:alignment horizontal="center" vertical="center" wrapText="1"/>
    </x:xf>
    <x:xf numFmtId="0" fontId="0" fillId="0" xfId="0" applyNumberFormat="1" applyFont="1" applyFill="1" applyBorder="0" applyAlignment="1">
      <x:alignment wrapText="1"/>
    </x:xf>
    <x:xf numFmtId="0" fontId="4" fillId="9" borderId="0" xfId="0" applyNumberFormat="1" applyFont="1" applyFill="1" applyBorder="1"/>
    <x:xf numFmtId="0" fontId="4" fillId="9" borderId="0" xfId="0" applyNumberFormat="1" applyFont="1" applyFill="1" applyBorder="1" applyAlignment="1">
      <x:alignment wrapText="1"/>
    </x:xf>
    <x:xf numFmtId="0" fontId="2" fillId="10" xfId="0" applyNumberFormat="1" applyFont="1" applyFill="1" applyBorder="0" applyAlignment="1">
      <x:alignment horizontal="center" wrapText="1"/>
    </x:xf>
    <x:xf numFmtId="0" fontId="1" fillId="8" borderId="0" xfId="0" applyNumberFormat="1" applyFont="1" applyFill="1" applyBorder="1" applyAlignment="1">
      <x:alignment vertical="center"/>
    </x:xf>
    <x:xf numFmtId="0" fontId="1" fillId="8" borderId="0" xfId="0" applyNumberFormat="1" applyFont="1" applyFill="1" applyBorder="1" applyAlignment="1">
      <x:alignment vertical="center" wrapText="1"/>
    </x:xf>
    <x:xf numFmtId="0" fontId="1" fillId="8" borderId="0" xfId="0" applyNumberFormat="1" applyFont="1" applyFill="1" applyBorder="1" applyAlignment="1">
      <x:alignment horizontal="left" vertical="center" wrapText="1"/>
    </x:xf>
    <x:xf numFmtId="0" fontId="3" fillId="9" borderId="0" xfId="0" applyNumberFormat="1" applyFont="1" applyFill="1" applyBorder="1" applyAlignment="1">
      <x:alignment wrapText="1"/>
    </x:xf>
    <x:xf numFmtId="0" fontId="8" fillId="9" borderId="0" xfId="0" applyNumberFormat="1" applyFont="1" applyFill="1" applyBorder="1" applyAlignment="1">
      <x:alignment wrapText="1"/>
    </x:xf>
    <x:xf numFmtId="0" fontId="8" fillId="9" borderId="0" xfId="0" applyNumberFormat="1" applyFont="1" applyFill="1" applyBorder="1" applyAlignment="1">
      <x:alignment vertical="center" wrapText="1"/>
    </x:xf>
    <x:xf numFmtId="0" fontId="0" fillId="5" xfId="0" applyNumberFormat="1" applyFont="1" applyFill="1" applyBorder="0" applyAlignment="1">
      <x:alignment wrapText="1"/>
    </x:xf>
    <x:xf numFmtId="0" fontId="0" fillId="6" xfId="0" applyNumberFormat="1" applyFont="1" applyFill="1" applyBorder="0" applyAlignment="1">
      <x:alignment wrapText="1"/>
    </x:xf>
    <x:xf numFmtId="200" fontId="0" fillId="6" xfId="0" applyNumberFormat="1" applyFont="1" applyFill="1" applyBorder="0" applyAlignment="1">
      <x:alignment wrapText="1"/>
    </x:xf>
    <x:xf numFmtId="0" fontId="0" fillId="9" xfId="0" applyNumberFormat="1" applyFont="1" applyFill="1" applyBorder="0" applyAlignment="1">
      <x:alignment wrapText="1"/>
    </x:xf>
    <x:xf numFmtId="0" fontId="0" fillId="6" xfId="0" applyNumberFormat="1" applyFont="1" applyFill="1" applyBorder="0" applyAlignment="1">
      <x:alignment horizontal="right" wrapText="1"/>
    </x:xf>
    <x:xf numFmtId="200" fontId="0" fillId="6" xfId="0" applyNumberFormat="1" applyFont="1" applyFill="1" applyBorder="0" applyAlignment="1">
      <x:alignment horizontal="right" wrapText="1"/>
    </x:xf>
    <x:xf numFmtId="0" fontId="2" fillId="8" borderId="0" xfId="0" applyNumberFormat="1" applyFont="1" applyFill="1" applyBorder="1" applyAlignment="1">
      <x:alignment horizontal="center" vertical="center" wrapText="1"/>
    </x:xf>
    <x:xf numFmtId="0" fontId="9" fillId="8" borderId="0" xfId="0" applyNumberFormat="1" applyFont="1" applyFill="1" applyBorder="1" applyAlignment="1">
      <x:alignment horizontal="center" vertical="center" wrapText="1"/>
    </x:xf>
    <x:xf numFmtId="0" fontId="9" fillId="8" xfId="0" applyNumberFormat="1" applyFont="1" applyFill="1" applyBorder="0" applyAlignment="1">
      <x:alignment horizontal="center" vertical="center" wrapText="1"/>
    </x:xf>
    <x:xf numFmtId="0" fontId="0" fillId="0" borderId="0" xfId="0" applyNumberFormat="1" applyFont="1" applyFill="1" applyBorder="1" applyAlignment="1">
      <x:alignment vertical="top" wrapText="1"/>
    </x:xf>
    <x:xf numFmtId="0" fontId="0" fillId="3" borderId="0" xfId="0" applyNumberFormat="1" applyFont="1" applyFill="1" applyBorder="1" applyAlignment="1">
      <x:alignment vertical="top" wrapText="1"/>
    </x:xf>
    <x:xf numFmtId="200" fontId="0" fillId="3" borderId="0"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3" xfId="0" applyNumberFormat="1" applyFont="1" applyFill="1" applyBorder="0" applyAlignment="1">
      <x:alignment vertical="top" wrapText="1"/>
    </x:xf>
    <x:xf numFmtId="200" fontId="0" fillId="3" xfId="0" applyNumberFormat="1" applyFont="1" applyFill="1" applyBorder="0" applyAlignment="1">
      <x:alignment vertical="top" wrapText="1"/>
    </x:xf>
    <x:xf numFmtId="0" fontId="0" fillId="12" xfId="0" applyNumberFormat="1" applyFont="1" applyFill="1" applyBorder="0" applyAlignment="1">
      <x:alignment vertical="top" wrapText="1"/>
    </x:xf>
    <x:xf numFmtId="200" fontId="0" fillId="12" xfId="0" applyNumberFormat="1" applyFont="1" applyFill="1" applyBorder="0" applyAlignment="1">
      <x:alignment vertical="top" wrapText="1"/>
    </x:xf>
    <x:xf numFmtId="0" fontId="0" fillId="9" xfId="0" applyNumberFormat="1" applyFont="1" applyFill="1" applyBorder="0" applyAlignment="1">
      <x:alignment vertical="top" wrapText="1"/>
    </x:xf>
    <x:xf numFmtId="0" fontId="1" fillId="8" borderId="0" xfId="0" applyNumberFormat="1" applyFont="1" applyFill="1" applyBorder="1" applyAlignment="1">
      <x:alignment wrapText="1"/>
    </x:xf>
    <x:xf numFmtId="0" fontId="1" fillId="8" borderId="0" xfId="0" applyNumberFormat="1" applyFont="1" applyFill="1" applyBorder="1" applyAlignment="1">
      <x:alignment horizontal="left" wrapText="1"/>
    </x:xf>
    <x:xf numFmtId="0" fontId="8" fillId="9" borderId="0" xfId="0" applyNumberFormat="1" applyFont="1" applyFill="1" applyBorder="1"/>
    <x:xf numFmtId="0" fontId="2" fillId="10" xfId="0" applyNumberFormat="1" applyFont="1" applyFill="1" applyBorder="0"/>
    <x:xf numFmtId="0" fontId="2" fillId="10" xfId="0" applyNumberFormat="1" applyFont="1" applyFill="1" applyBorder="0" applyAlignment="1">
      <x:alignment horizontal="center"/>
    </x:xf>
    <x:xf numFmtId="200" fontId="0" fillId="0" xfId="0" applyNumberFormat="1" applyFont="1" applyFill="1" applyBorder="0"/>
    <x:xf numFmtId="0" fontId="0" fillId="9" xfId="0" applyNumberFormat="1" applyFont="1" applyFill="1" applyBorder="0"/>
    <x:xf numFmtId="0" fontId="0" fillId="0" xfId="0" applyNumberFormat="1" applyFont="1" applyFill="1" applyBorder="0" applyAlignment="1">
      <x:alignment horizontal="right"/>
    </x:xf>
    <x:xf numFmtId="200" fontId="0" fillId="0" xfId="0" applyNumberFormat="1" applyFont="1" applyFill="1" applyBorder="0" applyAlignment="1">
      <x:alignment horizontal="right"/>
    </x:xf>
    <x:xf numFmtId="0" fontId="9" fillId="8" borderId="0" xfId="0" applyNumberFormat="1" applyFont="1" applyFill="1" applyBorder="1"/>
    <x:xf numFmtId="0" fontId="9" fillId="8" xfId="0" applyNumberFormat="1" applyFont="1" applyFill="1" applyBorder="0"/>
    <x:xf numFmtId="0" fontId="9" fillId="8" xfId="0" applyNumberFormat="1" applyFont="1" applyFill="1" applyBorder="0" applyAlignment="1">
      <x:alignment wrapText="1"/>
    </x:xf>
    <x:xf numFmtId="0" fontId="9" fillId="8" xfId="0" applyNumberFormat="1" applyFont="1" applyFill="1" applyBorder="0" applyAlignment="1">
      <x:alignment horizontal="center" wrapText="1"/>
    </x:xf>
    <x:xf numFmtId="200" fontId="0" fillId="0" borderId="0" xfId="0" applyNumberFormat="1" applyFont="1" applyFill="1" applyBorder="1" applyAlignment="1">
      <x:alignment vertical="top" wrapText="1"/>
    </x:xf>
    <x:xf numFmtId="200" fontId="0" fillId="0" xfId="0" applyNumberFormat="1" applyFont="1" applyFill="1" applyBorder="0" applyAlignment="1">
      <x:alignment vertical="top" wrapText="1"/>
    </x:xf>
    <x:xf numFmtId="0" fontId="10" fillId="8" borderId="0" xfId="0" applyNumberFormat="1" applyFont="1" applyFill="1" applyBorder="1" applyAlignment="1">
      <x:alignment vertical="center"/>
    </x:xf>
    <x:xf numFmtId="0" fontId="0" fillId="3" xfId="0" applyNumberFormat="1" applyFont="1" applyFill="1" applyBorder="0"/>
    <x:xf numFmtId="0" fontId="2" fillId="7" xfId="0" applyNumberFormat="1" applyFont="1" applyFill="1" applyBorder="0" applyAlignment="1">
      <x:alignment vertical="center"/>
    </x:xf>
    <x:xf numFmtId="0" fontId="5" fillId="6" xfId="0" applyNumberFormat="1" applyFont="1" applyFill="1" applyBorder="0"/>
    <x:xf numFmtId="0" fontId="0" fillId="12" xfId="0" applyNumberFormat="1" applyFont="1" applyFill="1" applyBorder="0"/>
    <x:xf numFmtId="0" fontId="2" fillId="11" xfId="0" applyNumberFormat="1" applyFont="1" applyFill="1" applyBorder="0" applyAlignment="1">
      <x:alignment vertical="center"/>
    </x:xf>
    <x:xf numFmtId="0" fontId="5" fillId="11" xfId="0" applyNumberFormat="1" applyFont="1" applyFill="1" applyBorder="0"/>
    <x:xf numFmtId="0" fontId="2" fillId="8" xfId="0" applyNumberFormat="1" applyFont="1" applyFill="1" applyBorder="0" applyAlignment="1">
      <x:alignment horizontal="center" vertical="center" wrapText="1"/>
    </x:xf>
    <x:xf numFmtId="200" fontId="5" fillId="6" xfId="0" applyNumberFormat="1" applyFont="1" applyFill="1" applyBorder="0"/>
    <x:xf numFmtId="0" fontId="2" fillId="2" xfId="0" applyNumberFormat="1" applyFont="1" applyFill="1" applyBorder="0" applyAlignment="1">
      <x:alignment horizontal="center" vertical="center" wrapText="1"/>
    </x:xf>
    <x:xf numFmtId="0" fontId="0" fillId="13" xfId="0" applyNumberFormat="1" applyFont="1" applyFill="1" applyBorder="0"/>
    <x:xf numFmtId="200" fontId="0" fillId="13" xfId="0" applyNumberFormat="1" applyFont="1" applyFill="1" applyBorder="0"/>
    <x:xf numFmtId="200" fontId="5" fillId="11" xfId="0" applyNumberFormat="1" applyFont="1" applyFill="1" applyBorder="0"/>
    <x:xf numFmtId="0" fontId="0" fillId="11" xfId="0" applyNumberFormat="1" applyFont="1" applyFill="1" applyBorder="0"/>
    <x:xf numFmtId="200" fontId="0" fillId="11" xfId="0" applyNumberFormat="1" applyFont="1" applyFill="1" applyBorder="0"/>
    <x:xf numFmtId="0" fontId="2" fillId="11" xfId="0" applyNumberFormat="1" applyFont="1" applyFill="1" applyBorder="0" applyAlignment="1">
      <x:alignment horizontal="center" vertical="center" wrapText="1"/>
    </x:xf>
    <x:xf numFmtId="0" fontId="0" fillId="11" xfId="0" applyNumberFormat="1" applyFont="1" applyFill="1" applyBorder="0" applyAlignment="1">
      <x:alignment wrapText="1"/>
    </x:xf>
    <x:xf numFmtId="0" fontId="0" fillId="10" borderId="0" xfId="0" applyNumberFormat="1" applyFont="1" applyFill="1" applyBorder="1" applyAlignment="1">
      <x:alignment wrapText="1"/>
    </x:xf>
    <x:xf numFmtId="200" fontId="0" fillId="10" borderId="0" xfId="0" applyNumberFormat="1" applyFont="1" applyFill="1" applyBorder="1"/>
    <x:xf numFmtId="200" fontId="2" fillId="10" borderId="0" xfId="0" applyNumberFormat="1" applyFont="1" applyFill="1" applyBorder="1"/>
    <x:xf numFmtId="0" fontId="2" fillId="10" xfId="0" applyNumberFormat="1" applyFont="1" applyFill="1" applyBorder="0" applyAlignment="1">
      <x:alignment wrapText="1"/>
    </x:xf>
    <x:xf numFmtId="200" fontId="2" fillId="10" xfId="0" applyNumberFormat="1" applyFont="1" applyFill="1" applyBorder="0"/>
    <x:xf numFmtId="0" fontId="0" fillId="8" borderId="0" xfId="0" applyNumberFormat="1" applyFont="1" applyFill="1" applyBorder="1" applyAlignment="1">
      <x:alignment wrapText="1"/>
    </x:xf>
    <x:xf numFmtId="0" fontId="2" fillId="8" borderId="0" xfId="0" applyNumberFormat="1" applyFont="1" applyFill="1" applyBorder="1" applyAlignment="1">
      <x:alignment wrapText="1"/>
    </x:xf>
    <x:xf numFmtId="0" fontId="2" fillId="8" xfId="0" applyNumberFormat="1" applyFont="1" applyFill="1" applyBorder="0" applyAlignment="1">
      <x:alignment wrapText="1"/>
    </x:xf>
    <x:xf numFmtId="0" fontId="2" fillId="8" xfId="0" applyNumberFormat="1" applyFont="1" applyFill="1" applyBorder="0" applyAlignment="1">
      <x:alignment horizontal="center" wrapText="1"/>
    </x:xf>
    <x:xf numFmtId="0" fontId="5" fillId="6" xfId="0" applyNumberFormat="1" applyFont="1" applyFill="1" applyBorder="0" applyAlignment="1">
      <x:alignment wrapText="1"/>
    </x:xf>
    <x:xf numFmtId="0" fontId="0" fillId="11" borderId="0" xfId="0" applyNumberFormat="1" applyFont="1" applyFill="1" applyBorder="1" applyAlignment="1">
      <x:alignment wrapText="1"/>
    </x:xf>
    <x:xf numFmtId="0" fontId="0" fillId="3" xfId="0" applyNumberFormat="1" applyFont="1" applyFill="1" applyBorder="0" applyAlignment="1">
      <x:alignment wrapText="1"/>
    </x:xf>
    <x:xf numFmtId="0" fontId="4" fillId="8" borderId="0" xfId="0" applyNumberFormat="1" applyFont="1" applyFill="1" applyBorder="1" applyAlignment="1">
      <x:alignment wrapText="1"/>
    </x:xf>
    <x:xf numFmtId="0" fontId="11" fillId="8" borderId="0" xfId="0" applyNumberFormat="1" applyFont="1" applyFill="1" applyBorder="1" applyAlignment="1">
      <x:alignment wrapText="1"/>
    </x:xf>
    <x:xf numFmtId="0" fontId="11" fillId="8" borderId="0" xfId="0" applyNumberFormat="1" applyFont="1" applyFill="1" applyBorder="1" applyAlignment="1">
      <x:alignment vertical="center" wrapText="1"/>
    </x:xf>
    <x:xf numFmtId="0" fontId="12" fillId="13" xfId="0" applyNumberFormat="1" applyFont="1" applyFill="1" applyBorder="0"/>
    <x:xf numFmtId="200" fontId="12" fillId="13" xfId="0" applyNumberFormat="1" applyFont="1" applyFill="1" applyBorder="0"/>
    <x:xf numFmtId="0" fontId="13" fillId="11" xfId="0" applyNumberFormat="1" applyFont="1" applyFill="1" applyBorder="0"/>
    <x:xf numFmtId="200" fontId="13" fillId="11" xfId="0" applyNumberFormat="1" applyFont="1" applyFill="1" applyBorder="0"/>
    <x:xf numFmtId="0" fontId="12" fillId="11" xfId="0" applyNumberFormat="1" applyFont="1" applyFill="1" applyBorder="0"/>
    <x:xf numFmtId="200" fontId="12" fillId="11" xfId="0" applyNumberFormat="1" applyFont="1" applyFill="1" applyBorder="0"/>
    <x:xf numFmtId="0" fontId="13" fillId="11" xfId="0" applyNumberFormat="1" applyFont="1" applyFill="1" applyBorder="0" applyAlignment="1">
      <x:alignment horizontal="center" vertical="center" wrapText="1"/>
    </x:xf>
    <x:xf numFmtId="0" fontId="12" fillId="11" xfId="0" applyNumberFormat="1" applyFont="1" applyFill="1" applyBorder="0" applyAlignment="1">
      <x:alignment wrapText="1"/>
    </x:xf>
    <x:xf numFmtId="0" fontId="0" fillId="14" xfId="0" applyNumberFormat="1" applyFont="1" applyFill="1" applyBorder="0"/>
    <x:xf numFmtId="0" fontId="12" fillId="14" xfId="0" applyNumberFormat="1" applyFont="1" applyFill="1" applyBorder="0"/>
    <x:xf numFmtId="0" fontId="5" fillId="14" xfId="0" applyNumberFormat="1" applyFont="1" applyFill="1" applyBorder="0" applyAlignment="1">
      <x:alignment wrapText="1"/>
    </x:xf>
    <x:xf numFmtId="0" fontId="13" fillId="14" xfId="0" applyNumberFormat="1" applyFont="1" applyFill="1" applyBorder="0" applyAlignment="1">
      <x:alignment wrapText="1"/>
    </x:xf>
    <x:xf numFmtId="0" fontId="0" fillId="14" xfId="0" applyNumberFormat="1" applyFont="1" applyFill="1" applyBorder="0" applyAlignment="1">
      <x:alignment wrapText="1"/>
    </x:xf>
    <x:xf numFmtId="0" fontId="12" fillId="14" xfId="0" applyNumberFormat="1" applyFont="1" applyFill="1" applyBorder="0" applyAlignment="1">
      <x:alignment wrapText="1"/>
    </x:xf>
    <x:xf numFmtId="0" fontId="11" fillId="15" borderId="0" xfId="0" applyNumberFormat="1" applyFont="1" applyFill="1" applyBorder="1" applyAlignment="1">
      <x:alignment vertical="center" wrapText="1"/>
    </x:xf>
    <x:xf numFmtId="0" fontId="14" fillId="15" borderId="0" xfId="0" applyNumberFormat="1" applyFont="1" applyFill="1" applyBorder="1" applyAlignment="1">
      <x:alignment vertical="center" wrapText="1"/>
    </x:xf>
    <x:xf numFmtId="0" fontId="1" fillId="7" borderId="0" xfId="0" applyNumberFormat="1" applyFont="1" applyFill="1" applyBorder="1"/>
    <x:xf numFmtId="0" fontId="1" fillId="7" borderId="0" xfId="0" applyNumberFormat="1" applyFont="1" applyFill="1" applyBorder="1" applyAlignment="1">
      <x:alignment horizontal="center"/>
    </x:xf>
    <x:xf numFmtId="0" fontId="1" fillId="7" borderId="0" xfId="0" applyNumberFormat="1" applyFont="1" applyFill="1" applyBorder="1" applyAlignment="1">
      <x:alignment horizontal="center" vertical="center"/>
    </x:xf>
    <x:xf numFmtId="0" fontId="7" fillId="6" borderId="0" xfId="0" applyNumberFormat="1" applyFont="1" applyFill="1" applyBorder="1"/>
    <x:xf numFmtId="0" fontId="7" fillId="6" borderId="0" xfId="0" applyNumberFormat="1" applyFont="1" applyFill="1" applyBorder="1" applyAlignment="1">
      <x:alignment wrapText="1"/>
    </x:xf>
    <x:xf numFmtId="0" fontId="1" fillId="7" borderId="0" xfId="0" applyNumberFormat="1" applyFont="1" applyFill="1" applyBorder="1" applyAlignment="1">
      <x:alignment horizontal="center" vertical="center" wrapText="1"/>
    </x:xf>
    <x:xf numFmtId="0" fontId="1" fillId="7" borderId="0" xfId="0" applyNumberFormat="1" applyFont="1" applyFill="1" applyBorder="1" applyAlignment="1">
      <x:alignment vertical="center"/>
    </x:xf>
    <x:xf numFmtId="0" fontId="1" fillId="7" borderId="0" xfId="0" applyNumberFormat="1" applyFont="1" applyFill="1" applyBorder="1" applyAlignment="1">
      <x:alignment vertical="center" wrapText="1"/>
    </x:xf>
    <x:xf numFmtId="0" fontId="1" fillId="7" borderId="0" xfId="0" applyNumberFormat="1" applyFont="1" applyFill="1" applyBorder="1" applyAlignment="1">
      <x:alignment horizontal="left" vertical="center" wrapText="1"/>
    </x:xf>
    <x:xf numFmtId="0" fontId="2" fillId="7" borderId="0" xfId="0" applyNumberFormat="1" applyFont="1" applyFill="1" applyBorder="1" applyAlignment="1">
      <x:alignment horizontal="center" vertical="center" wrapText="1"/>
    </x:xf>
    <x:xf numFmtId="0" fontId="9" fillId="7" borderId="0" xfId="0" applyNumberFormat="1" applyFont="1" applyFill="1" applyBorder="1" applyAlignment="1">
      <x:alignment horizontal="center" vertical="center" wrapText="1"/>
    </x:xf>
    <x:xf numFmtId="0" fontId="9" fillId="7" xfId="0" applyNumberFormat="1" applyFont="1" applyFill="1" applyBorder="0" applyAlignment="1">
      <x:alignment horizontal="center" vertical="center" wrapText="1"/>
    </x:xf>
    <x:xf numFmtId="0" fontId="1" fillId="7" borderId="0" xfId="0" applyNumberFormat="1" applyFont="1" applyFill="1" applyBorder="1" applyAlignment="1">
      <x:alignment wrapText="1"/>
    </x:xf>
    <x:xf numFmtId="0" fontId="1" fillId="7" borderId="0" xfId="0" applyNumberFormat="1" applyFont="1" applyFill="1" applyBorder="1" applyAlignment="1">
      <x:alignment horizontal="left" wrapText="1"/>
    </x:xf>
    <x:xf numFmtId="0" fontId="9" fillId="7" borderId="0" xfId="0" applyNumberFormat="1" applyFont="1" applyFill="1" applyBorder="1"/>
    <x:xf numFmtId="0" fontId="9" fillId="7" xfId="0" applyNumberFormat="1" applyFont="1" applyFill="1" applyBorder="0"/>
    <x:xf numFmtId="0" fontId="9" fillId="7" xfId="0" applyNumberFormat="1" applyFont="1" applyFill="1" applyBorder="0" applyAlignment="1">
      <x:alignment wrapText="1"/>
    </x:xf>
    <x:xf numFmtId="0" fontId="9" fillId="7" xfId="0" applyNumberFormat="1" applyFont="1" applyFill="1" applyBorder="0" applyAlignment="1">
      <x:alignment horizontal="center" wrapText="1"/>
    </x:xf>
    <x:xf numFmtId="0" fontId="10" fillId="7" borderId="0" xfId="0" applyNumberFormat="1" applyFont="1" applyFill="1" applyBorder="1" applyAlignment="1">
      <x:alignment vertical="center"/>
    </x:xf>
    <x:xf numFmtId="0" fontId="2" fillId="6" xfId="0" applyNumberFormat="1" applyFont="1" applyFill="1" applyBorder="0" applyAlignment="1">
      <x:alignment vertical="center"/>
    </x:xf>
    <x:xf numFmtId="0" fontId="2" fillId="7" xfId="0" applyNumberFormat="1" applyFont="1" applyFill="1" applyBorder="0" applyAlignment="1">
      <x:alignment horizontal="center" vertical="center" wrapText="1"/>
    </x:xf>
    <x:xf numFmtId="0" fontId="0" fillId="6" xfId="0" applyNumberFormat="1" applyFont="1" applyFill="1" applyBorder="0"/>
    <x:xf numFmtId="200" fontId="0" fillId="6" xfId="0" applyNumberFormat="1" applyFont="1" applyFill="1" applyBorder="0"/>
    <x:xf numFmtId="0" fontId="2" fillId="6" xfId="0" applyNumberFormat="1" applyFont="1" applyFill="1" applyBorder="0" applyAlignment="1">
      <x:alignment horizontal="center" vertical="center" wrapText="1"/>
    </x:xf>
    <x:xf numFmtId="0" fontId="0" fillId="7" borderId="0" xfId="0" applyNumberFormat="1" applyFont="1" applyFill="1" applyBorder="1" applyAlignment="1">
      <x:alignment wrapText="1"/>
    </x:xf>
    <x:xf numFmtId="0" fontId="2" fillId="7" borderId="0" xfId="0" applyNumberFormat="1" applyFont="1" applyFill="1" applyBorder="1" applyAlignment="1">
      <x:alignment wrapText="1"/>
    </x:xf>
    <x:xf numFmtId="0" fontId="2" fillId="7" xfId="0" applyNumberFormat="1" applyFont="1" applyFill="1" applyBorder="0" applyAlignment="1">
      <x:alignment wrapText="1"/>
    </x:xf>
    <x:xf numFmtId="0" fontId="2" fillId="7" xfId="0" applyNumberFormat="1" applyFont="1" applyFill="1" applyBorder="0" applyAlignment="1">
      <x:alignment horizontal="center" wrapText="1"/>
    </x:xf>
    <x:xf numFmtId="0" fontId="4" fillId="7" borderId="0" xfId="0" applyNumberFormat="1" applyFont="1" applyFill="1" applyBorder="1" applyAlignment="1">
      <x:alignment wrapText="1"/>
    </x:xf>
    <x:xf numFmtId="0" fontId="11" fillId="7" borderId="0" xfId="0" applyNumberFormat="1" applyFont="1" applyFill="1" applyBorder="1" applyAlignment="1">
      <x:alignment wrapText="1"/>
    </x:xf>
    <x:xf numFmtId="0" fontId="11" fillId="7" borderId="0" xfId="0" applyNumberFormat="1" applyFont="1" applyFill="1" applyBorder="1" applyAlignment="1">
      <x:alignment vertical="center" wrapText="1"/>
    </x:xf>
    <x:xf numFmtId="0" fontId="13" fillId="6" xfId="0" applyNumberFormat="1" applyFont="1" applyFill="1" applyBorder="0"/>
    <x:xf numFmtId="200" fontId="13" fillId="6" xfId="0" applyNumberFormat="1" applyFont="1" applyFill="1" applyBorder="0"/>
    <x:xf numFmtId="0" fontId="12" fillId="6" xfId="0" applyNumberFormat="1" applyFont="1" applyFill="1" applyBorder="0"/>
    <x:xf numFmtId="200" fontId="12" fillId="6" xfId="0" applyNumberFormat="1" applyFont="1" applyFill="1" applyBorder="0"/>
    <x:xf numFmtId="0" fontId="13" fillId="6" xfId="0" applyNumberFormat="1" applyFont="1" applyFill="1" applyBorder="0" applyAlignment="1">
      <x:alignment horizontal="center" vertical="center" wrapText="1"/>
    </x:xf>
    <x:xf numFmtId="0" fontId="12" fillId="6" xfId="0" applyNumberFormat="1" applyFont="1" applyFill="1" applyBorder="0" applyAlignment="1">
      <x:alignment wrapText="1"/>
    </x:xf>
    <x:xf numFmtId="0" fontId="11" fillId="4" borderId="0" xfId="0" applyNumberFormat="1" applyFont="1" applyFill="1" applyBorder="1" applyAlignment="1">
      <x:alignment vertical="center" wrapText="1"/>
    </x:xf>
    <x:xf numFmtId="0" fontId="14" fillId="4" borderId="0" xfId="0" applyNumberFormat="1" applyFont="1" applyFill="1" applyBorder="1" applyAlignment="1">
      <x:alignment vertical="center"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horizontal="center"/>
    </x:xf>
    <x:xf numFmtId="0" fontId="1" fillId="16" borderId="0" xfId="0" applyNumberFormat="1" applyFont="1" applyFill="1" applyBorder="1" applyAlignment="1">
      <x:alignment horizontal="center" vertical="center"/>
    </x:xf>
    <x:xf numFmtId="0" fontId="0" fillId="17" borderId="0" xfId="0" applyNumberFormat="1" applyFont="1" applyFill="1" applyBorder="1"/>
    <x:xf numFmtId="0" fontId="4" fillId="17" borderId="0" xfId="0" applyNumberFormat="1" applyFont="1" applyFill="1" applyBorder="1"/>
    <x:xf numFmtId="0" fontId="4" fillId="17" borderId="0" xfId="0" applyNumberFormat="1" applyFont="1" applyFill="1" applyBorder="1" applyAlignment="1">
      <x:alignment wrapText="1"/>
    </x:xf>
    <x:xf numFmtId="0" fontId="2" fillId="16"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0"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5" fillId="20" borderId="0" xfId="0" applyNumberFormat="1" applyFont="1" applyFill="1" applyBorder="1"/>
    <x:xf numFmtId="0" fontId="5" fillId="20" borderId="0" xfId="0" applyNumberFormat="1" applyFont="1" applyFill="1" applyBorder="1" applyAlignment="1">
      <x:alignment wrapText="1"/>
    </x:xf>
    <x:xf numFmtId="0" fontId="15" fillId="16" borderId="0" xfId="0" applyNumberFormat="1" applyFont="1" applyFill="1" applyBorder="1"/>
    <x:xf numFmtId="0" fontId="15" fillId="16" borderId="0" xfId="0" applyNumberFormat="1" applyFont="1" applyFill="1" applyBorder="1" applyAlignment="1">
      <x:alignment horizontal="center"/>
    </x:xf>
    <x:xf numFmtId="0" fontId="0" fillId="20" borderId="0" xfId="0" applyNumberFormat="1" applyFont="1" applyFill="1" applyBorder="1" applyAlignment="1">
      <x:alignment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horizontal="center" wrapText="1"/>
    </x:xf>
    <x:xf numFmtId="0" fontId="5" fillId="0" borderId="0" xfId="0" applyNumberFormat="1" applyFont="1" applyFill="1" applyBorder="1" applyAlignment="1">
      <x:alignment horizontal="center" vertical="top" wrapText="1"/>
    </x:xf>
    <x:xf numFmtId="0" fontId="0" fillId="21" borderId="0" xfId="0" applyNumberFormat="1" applyFont="1" applyFill="1" applyBorder="1" applyAlignment="1">
      <x:alignment wrapText="1"/>
    </x:xf>
    <x:xf numFmtId="0" fontId="16" fillId="21" borderId="0" xfId="0" applyNumberFormat="1" applyFont="1" applyFill="1" applyBorder="1" applyAlignment="1">
      <x:alignment wrapText="1"/>
    </x:xf>
    <x:xf numFmtId="0" fontId="0" fillId="22" borderId="0" xfId="0" applyNumberFormat="1" applyFont="1" applyFill="1" applyBorder="1" applyAlignment="1">
      <x:alignment wrapText="1"/>
    </x:xf>
    <x:xf numFmtId="0" fontId="17" fillId="22" borderId="0" xfId="0" applyNumberFormat="1" applyFont="1" applyFill="1" applyBorder="1" applyAlignment="1">
      <x:alignment wrapText="1"/>
    </x:xf>
    <x:xf numFmtId="0" fontId="14" fillId="23" borderId="0" xfId="0" applyNumberFormat="1" applyFont="1" applyFill="1" applyBorder="1" applyAlignment="1">
      <x:alignment vertical="center" wrapText="1"/>
    </x:xf>
    <x:xf numFmtId="0" fontId="11" fillId="23" borderId="0" xfId="0" applyNumberFormat="1" applyFont="1" applyFill="1" applyBorder="1" applyAlignment="1">
      <x:alignment vertical="center" wrapText="1"/>
    </x:xf>
    <x:xf numFmtId="0" fontId="2" fillId="6" xfId="0" applyNumberFormat="1" applyFont="1" applyFill="1" applyBorder="0" applyAlignment="1">
      <x:alignment vertical="center" wrapText="1"/>
    </x:xf>
    <x:xf numFmtId="0" fontId="17" fillId="6" xfId="0" applyNumberFormat="1" applyFont="1" applyFill="1" applyBorder="0" applyAlignment="1">
      <x:alignment vertical="center" wrapText="1"/>
    </x:xf>
    <x:xf numFmtId="0" fontId="17" fillId="6" xfId="0" applyNumberFormat="1" applyFont="1" applyFill="1" applyBorder="0" applyAlignment="1">
      <x:alignment wrapText="1"/>
    </x:xf>
    <x:xf numFmtId="201" fontId="0" fillId="0" xfId="0" applyNumberFormat="1" applyFont="1" applyFill="1" applyBorder="0" applyAlignment="1">
      <x:alignment wrapText="1"/>
    </x:xf>
    <x:xf numFmtId="201" fontId="0" fillId="0" borderId="0" xfId="0" applyNumberFormat="1" applyFont="1" applyFill="1" applyBorder="1" applyAlignment="1">
      <x:alignment wrapText="1"/>
    </x:xf>
  </x:cellXfs>
  <x:cellStyles count="1">
    <x:cellStyle name="Normal" xfId="0"/>
  </x:cellStyles>
  <x:dxfs count="45">
    <x:dxf>
      <x:font>
        <x:b/>
      </x:font>
      <x:fill>
        <x:patternFill>
          <x:bgColor rgb="FFE2F0D9"/>
        </x:patternFill>
      </x:fill>
    </x:dxf>
    <x:dxf>
      <x:fill>
        <x:patternFill>
          <x:bgColor rgb="FFD9EAF7"/>
        </x:patternFill>
      </x:fill>
    </x:dxf>
    <x:dxf>
      <x:fill>
        <x:patternFill>
          <x:bgColor rgb="FFFCE4D6"/>
        </x:patternFill>
      </x:fill>
    </x:dxf>
    <x:dxf>
      <x:font>
        <x:b/>
      </x:font>
      <x:fill>
        <x:patternFill>
          <x:bgColor rgb="FFE2F0D9"/>
        </x:patternFill>
      </x:fill>
    </x:dxf>
    <x:dxf>
      <x:fill>
        <x:patternFill>
          <x:bgColor rgb="FFFCE4D6"/>
        </x:patternFill>
      </x:fill>
    </x:dxf>
    <x:dxf>
      <x:font>
        <x:b/>
      </x:font>
      <x:fill>
        <x:patternFill>
          <x:bgColor rgb="FFE2F0D9"/>
        </x:patternFill>
      </x:fill>
    </x:dxf>
    <x:dxf>
      <x:fill>
        <x:patternFill>
          <x:bgColor rgb="FFD9EAF7"/>
        </x:patternFill>
      </x:fill>
    </x:dxf>
    <x:dxf>
      <x:fill>
        <x:patternFill>
          <x:bgColor rgb="FFFCE4D6"/>
        </x:patternFill>
      </x:fill>
    </x:dxf>
    <x:dxf>
      <x:font>
        <x:b/>
      </x:font>
      <x:fill>
        <x:patternFill>
          <x:bgColor rgb="FFE2F0D9"/>
        </x:patternFill>
      </x:fill>
    </x:dxf>
    <x:dxf>
      <x:fill>
        <x:patternFill>
          <x:bgColor rgb="FFFCE4D6"/>
        </x:patternFill>
      </x:fill>
    </x:dxf>
    <x:dxf>
      <x:font>
        <x:b/>
      </x:font>
      <x:fill>
        <x:patternFill>
          <x:bgColor rgb="FFE2F0D9"/>
        </x:patternFill>
      </x:fill>
    </x:dxf>
    <x:dxf>
      <x:fill>
        <x:patternFill>
          <x:bgColor rgb="FFD9EAF7"/>
        </x:patternFill>
      </x:fill>
    </x:dxf>
    <x:dxf>
      <x:fill>
        <x:patternFill>
          <x:bgColor rgb="FFFCE4D6"/>
        </x:patternFill>
      </x:fill>
    </x:dxf>
    <x:dxf>
      <x:font>
        <x:b/>
      </x:font>
      <x:fill>
        <x:patternFill>
          <x:bgColor rgb="FFE2F0D9"/>
        </x:patternFill>
      </x:fill>
    </x:dxf>
    <x:dxf>
      <x:fill>
        <x:patternFill>
          <x:bgColor rgb="FFFCE4D6"/>
        </x:patternFill>
      </x:fill>
    </x:dxf>
    <x:dxf>
      <x:font>
        <x:b/>
      </x:font>
      <x:fill>
        <x:patternFill>
          <x:bgColor rgb="FFE2F0D9"/>
        </x:patternFill>
      </x:fill>
    </x:dxf>
    <x:dxf>
      <x:font>
        <x:b/>
      </x:font>
      <x:fill>
        <x:patternFill>
          <x:bgColor rgb="FFFCE4D6"/>
        </x:patternFill>
      </x:fill>
    </x:dxf>
    <x:dxf>
      <x:fill>
        <x:patternFill>
          <x:bgColor rgb="FFDDEBF7"/>
        </x:patternFill>
      </x:fill>
    </x:dxf>
    <x:dxf>
      <x:font>
        <x:b/>
      </x:font>
      <x:fill>
        <x:patternFill>
          <x:bgColor rgb="FFE2F0D9"/>
        </x:patternFill>
      </x:fill>
    </x:dxf>
    <x:dxf>
      <x:font>
        <x:b/>
      </x:font>
      <x:fill>
        <x:patternFill>
          <x:bgColor rgb="FFFCE4D6"/>
        </x:patternFill>
      </x:fill>
    </x:dxf>
    <x:dxf>
      <x:fill>
        <x:patternFill>
          <x:bgColor rgb="FFDDEBF7"/>
        </x:patternFill>
      </x:fill>
    </x:dxf>
    <x:dxf>
      <x:font>
        <x:b/>
      </x:font>
      <x:fill>
        <x:patternFill>
          <x:bgColor rgb="FFE2F0D9"/>
        </x:patternFill>
      </x:fill>
    </x:dxf>
    <x:dxf>
      <x:font>
        <x:b/>
      </x:font>
      <x:fill>
        <x:patternFill>
          <x:bgColor rgb="FFFCE4D6"/>
        </x:patternFill>
      </x:fill>
    </x:dxf>
    <x:dxf>
      <x:fill>
        <x:patternFill>
          <x:bgColor rgb="FFDDEBF7"/>
        </x:patternFill>
      </x:fill>
    </x:dxf>
    <x:dxf>
      <x:font>
        <x:b/>
      </x:font>
      <x:fill>
        <x:patternFill>
          <x:bgColor rgb="FFE2F0D9"/>
        </x:patternFill>
      </x:fill>
    </x:dxf>
    <x:dxf>
      <x:font>
        <x:b/>
      </x:font>
      <x:fill>
        <x:patternFill>
          <x:bgColor rgb="FFFCE4D6"/>
        </x:patternFill>
      </x:fill>
    </x:dxf>
    <x:dxf>
      <x:fill>
        <x:patternFill>
          <x:bgColor rgb="FFDDEBF7"/>
        </x:patternFill>
      </x:fill>
    </x:dxf>
    <x:dxf>
      <x:font>
        <x:b/>
      </x:font>
      <x:fill>
        <x:patternFill>
          <x:bgColor rgb="FFE2F0D9"/>
        </x:patternFill>
      </x:fill>
    </x:dxf>
    <x:dxf>
      <x:font>
        <x:b/>
      </x:font>
      <x:fill>
        <x:patternFill>
          <x:bgColor rgb="FFFCE4D6"/>
        </x:patternFill>
      </x:fill>
    </x:dxf>
    <x:dxf>
      <x:fill>
        <x:patternFill>
          <x:bgColor rgb="FFDDEBF7"/>
        </x:patternFill>
      </x:fill>
    </x:dxf>
    <x:dxf>
      <x:font>
        <x:b/>
      </x:font>
      <x:fill>
        <x:patternFill>
          <x:bgColor rgb="FFE2F0D9"/>
        </x:patternFill>
      </x:fill>
    </x:dxf>
    <x:dxf>
      <x:font>
        <x:b/>
      </x:font>
      <x:fill>
        <x:patternFill>
          <x:bgColor rgb="FFFCE4D6"/>
        </x:patternFill>
      </x:fill>
    </x:dxf>
    <x:dxf>
      <x:fill>
        <x:patternFill>
          <x:bgColor rgb="FFDDEBF7"/>
        </x:patternFill>
      </x:fill>
    </x:dxf>
    <x:dxf>
      <x:font>
        <x:b/>
      </x:font>
      <x:fill>
        <x:patternFill>
          <x:bgColor rgb="FFE2F0D9"/>
        </x:patternFill>
      </x:fill>
    </x:dxf>
    <x:dxf>
      <x:font>
        <x:b/>
      </x:font>
      <x:fill>
        <x:patternFill>
          <x:bgColor rgb="FFFCE4D6"/>
        </x:patternFill>
      </x:fill>
    </x:dxf>
    <x:dxf>
      <x:fill>
        <x:patternFill>
          <x:bgColor rgb="FFDDEBF7"/>
        </x:patternFill>
      </x:fill>
    </x:dxf>
    <x:dxf>
      <x:font>
        <x:b/>
      </x:font>
      <x:fill>
        <x:patternFill>
          <x:bgColor rgb="FFE2F0D9"/>
        </x:patternFill>
      </x:fill>
    </x:dxf>
    <x:dxf>
      <x:font>
        <x:b/>
      </x:font>
      <x:fill>
        <x:patternFill>
          <x:bgColor rgb="FFFCE4D6"/>
        </x:patternFill>
      </x:fill>
    </x:dxf>
    <x:dxf>
      <x:fill>
        <x:patternFill>
          <x:bgColor rgb="FFDDEBF7"/>
        </x:patternFill>
      </x:fill>
    </x:dxf>
    <x:dxf>
      <x:font>
        <x:b/>
      </x:font>
      <x:fill>
        <x:patternFill>
          <x:bgColor rgb="FFE2F0D9"/>
        </x:patternFill>
      </x:fill>
    </x:dxf>
    <x:dxf>
      <x:font>
        <x:b/>
      </x:font>
      <x:fill>
        <x:patternFill>
          <x:bgColor rgb="FFFCE4D6"/>
        </x:patternFill>
      </x:fill>
    </x:dxf>
    <x:dxf>
      <x:fill>
        <x:patternFill>
          <x:bgColor rgb="FFDDEBF7"/>
        </x:patternFill>
      </x:fill>
    </x:dxf>
    <x:dxf>
      <x:font>
        <x:b/>
      </x:font>
      <x:fill>
        <x:patternFill>
          <x:bgColor rgb="FFE2F0D9"/>
        </x:patternFill>
      </x:fill>
    </x:dxf>
    <x:dxf>
      <x:font>
        <x:b/>
      </x:font>
      <x:fill>
        <x:patternFill>
          <x:bgColor rgb="FFFCE4D6"/>
        </x:patternFill>
      </x:fill>
    </x:dxf>
    <x:dxf>
      <x:fill>
        <x:patternFill>
          <x:bgColor rgb="FFDDEB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1c6552464c048db" /><Relationship Type="http://schemas.openxmlformats.org/officeDocument/2006/relationships/theme" Target="/xl/theme/theme1.xml" Id="R638ce24441f44d6a" /><Relationship Type="http://schemas.openxmlformats.org/officeDocument/2006/relationships/sharedStrings" Target="/xl/sharedStrings.xml" Id="Rd9fd17bc2ce24798" /><Relationship Type="http://schemas.openxmlformats.org/officeDocument/2006/relationships/worksheet" Target="/xl/worksheets/sheet1.xml" Id="Re808187cd6604fa6" /><Relationship Type="http://schemas.openxmlformats.org/officeDocument/2006/relationships/worksheet" Target="/xl/worksheets/sheet2.xml" Id="R4f4ca0ee39164a7b" /><Relationship Type="http://schemas.openxmlformats.org/officeDocument/2006/relationships/worksheet" Target="/xl/worksheets/sheet3.xml" Id="R2d79308cd72d4590" /><Relationship Type="http://schemas.openxmlformats.org/officeDocument/2006/relationships/worksheet" Target="/xl/worksheets/sheet4.xml" Id="Rba3659c4b9e74a69" /><Relationship Type="http://schemas.openxmlformats.org/officeDocument/2006/relationships/worksheet" Target="/xl/worksheets/sheet5.xml" Id="R2b1e9819021a4321" /><Relationship Type="http://schemas.openxmlformats.org/officeDocument/2006/relationships/worksheet" Target="/xl/worksheets/sheet6.xml" Id="R6aa065da43884f71" /><Relationship Type="http://schemas.openxmlformats.org/officeDocument/2006/relationships/worksheet" Target="/xl/worksheets/sheet7.xml" Id="Ra35f1e510b92477a" /><Relationship Type="http://schemas.openxmlformats.org/officeDocument/2006/relationships/worksheet" Target="/xl/worksheets/sheet8.xml" Id="R72fff220981444db" /><Relationship Type="http://schemas.openxmlformats.org/officeDocument/2006/relationships/worksheet" Target="/xl/worksheets/sheet9.xml" Id="R8de2fd98c9934b1e" /><Relationship Type="http://schemas.openxmlformats.org/officeDocument/2006/relationships/worksheet" Target="/xl/worksheets/sheet10.xml" Id="R0574a93e778d45b3" /><Relationship Type="http://schemas.openxmlformats.org/officeDocument/2006/relationships/worksheet" Target="/xl/worksheets/sheet11.xml" Id="Rea01c728c79c4e8b" /><Relationship Type="http://schemas.openxmlformats.org/officeDocument/2006/relationships/worksheet" Target="/xl/worksheets/sheet12.xml" Id="R9e86f924997d4ee9" /><Relationship Type="http://schemas.openxmlformats.org/officeDocument/2006/relationships/worksheet" Target="/xl/worksheets/sheet13.xml" Id="Rcd4403c33442418e" /><Relationship Type="http://schemas.openxmlformats.org/officeDocument/2006/relationships/worksheet" Target="/xl/worksheets/sheet14.xml" Id="R369dc4ef1a6c4320" /><Relationship Type="http://schemas.openxmlformats.org/officeDocument/2006/relationships/worksheet" Target="/xl/worksheets/sheet15.xml" Id="R9147a80aaca745c8" /><Relationship Type="http://schemas.openxmlformats.org/officeDocument/2006/relationships/worksheet" Target="/xl/worksheets/sheet16.xml" Id="Rc1c79a2e03f141cf" /><Relationship Type="http://schemas.openxmlformats.org/officeDocument/2006/relationships/worksheet" Target="/xl/worksheets/sheet17.xml" Id="Ra060a5ee3f404aff" /><Relationship Type="http://schemas.openxmlformats.org/officeDocument/2006/relationships/worksheet" Target="/xl/worksheets/sheet18.xml" Id="R8f7775db70284d8b" /><Relationship Type="http://schemas.openxmlformats.org/officeDocument/2006/relationships/worksheet" Target="/xl/worksheets/sheet19.xml" Id="R9fa8e70fca6046fe" /></Relationships>
</file>

<file path=xl/drawings/_rels/drawing1.xml.rels>&#65279;<?xml version="1.0" encoding="utf-8"?><Relationships xmlns="http://schemas.openxmlformats.org/package/2006/relationships"><Relationship Type="http://schemas.openxmlformats.org/officeDocument/2006/relationships/chart" Target="/xl/drawings/charts/chart1.xml" Id="Raaaebba1dddb44c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AulaTokens por módulo · muestra v0.2</a:t>
            </a:r>
          </a:p>
        </c:rich>
      </c:tx>
    </c:title>
    <c:plotArea>
      <c:barChart>
        <c:barDir val="col"/>
        <c:varyColors val="0"/>
        <c:ser>
          <c:idx val="0"/>
          <c:order val="0"/>
          <c:tx>
            <c:v>AT OBL</c:v>
          </c:tx>
          <c:cat>
            <c:strRef>
              <c:f>'00 Contrato'!$A$13:$A$16</c:f>
              <c:strCache>
                <c:ptCount val="0"/>
              </c:strCache>
            </c:strRef>
          </c:cat>
          <c:val>
            <c:numRef>
              <c:f>'00 Contrato'!$B$13:$B$16</c:f>
              <c:numCache>
                <c:formatCode>General</c:formatCode>
                <c:ptCount val="0"/>
              </c:numCache>
            </c:numRef>
          </c:val>
        </c:ser>
        <c:ser>
          <c:idx val="1"/>
          <c:order val="1"/>
          <c:tx>
            <c:v>AT ofertados</c:v>
          </c:tx>
          <c:cat>
            <c:strRef>
              <c:f>'00 Contrato'!$A$13:$A$16</c:f>
              <c:strCache>
                <c:ptCount val="0"/>
              </c:strCache>
            </c:strRef>
          </c:cat>
          <c:val>
            <c:numRef>
              <c:f>'00 Contrato'!$C$13:$C$16</c:f>
              <c:numCache>
                <c:formatCode>General</c:formatCode>
                <c:ptCount val="0"/>
              </c:numCache>
            </c:numRef>
          </c:val>
        </c:ser>
        <c:ser>
          <c:idx val="2"/>
          <c:order val="2"/>
          <c:tx>
            <c:v>AT seleccionados</c:v>
          </c:tx>
          <c:cat>
            <c:strRef>
              <c:f>'00 Contrato'!$A$13:$A$16</c:f>
              <c:strCache>
                <c:ptCount val="0"/>
              </c:strCache>
            </c:strRef>
          </c:cat>
          <c:val>
            <c:numRef>
              <c:f>'00 Contrato'!$D$13:$D$16</c:f>
              <c:numCache>
                <c:formatCode>General</c:formatCode>
                <c:ptCount val="0"/>
              </c:numCache>
            </c:numRef>
          </c:val>
        </c:ser>
        <c:ser>
          <c:idx val="3"/>
          <c:order val="3"/>
          <c:tx>
            <c:v>AT validados</c:v>
          </c:tx>
          <c:cat>
            <c:strRef>
              <c:f>'00 Contrato'!$A$13:$A$16</c:f>
              <c:strCache>
                <c:ptCount val="0"/>
              </c:strCache>
            </c:strRef>
          </c:cat>
          <c:val>
            <c:numRef>
              <c:f>'00 Contrato'!$E$13:$E$16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4</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aaebba1dddb44cf"/>
        </a:graphicData>
      </a:graphic>
    </xdr:graphicFrame>
    <xdr:clientData/>
  </xdr:twoCellAnchor>
</xdr:wsDr>
</file>

<file path=xl/tables/table1.xml><?xml version="1.0" encoding="utf-8"?>
<x:table xmlns:x="http://schemas.openxmlformats.org/spreadsheetml/2006/main" id="1" name="PII_Tareas" displayName="PII_Tareas" ref="A14:U48" headerRowCount="1" totalsRowCount="0" totalsRowShown="0">
  <x:tableColumns count="21">
    <x:tableColumn id="1" name="ID"/>
    <x:tableColumn id="2" name="Especificación / funcionalidad"/>
    <x:tableColumn id="3" name="Tarea / entregable"/>
    <x:tableColumn id="4" name="Tipo"/>
    <x:tableColumn id="5" name="Seleccionada"/>
    <x:tableColumn id="6" name="Hito recomendado"/>
    <x:tableColumn id="7" name="Hito elegido"/>
    <x:tableColumn id="8" name="Horas recomendadas"/>
    <x:tableColumn id="9" name="Horas presupuestadas"/>
    <x:tableColumn id="10" name="Horas dedicadas"/>
    <x:tableColumn id="11" name="AT"/>
    <x:tableColumn id="12" name="Responsable"/>
    <x:tableColumn id="13" name="Sprint"/>
    <x:tableColumn id="14" name="% realizado"/>
    <x:tableColumn id="15" name="Estado"/>
    <x:tableColumn id="16" name="AT validados"/>
    <x:tableColumn id="17" name="AT progreso"/>
    <x:tableColumn id="18" name="Criterios de aceptación"/>
    <x:tableColumn id="19" name="Evidencia esperada"/>
    <x:tableColumn id="20" name="Dependencias"/>
    <x:tableColumn id="21" name="Observaciones"/>
  </x:tableColumns>
  <x:tableStyleInfo name="TableStyleMedium2" showFirstColumn="0" showLastColumn="0" showRowStripes="1" showColumnStripes="0"/>
</x:table>
</file>

<file path=xl/tables/table2.xml><?xml version="1.0" encoding="utf-8"?>
<x:table xmlns:x="http://schemas.openxmlformats.org/spreadsheetml/2006/main" id="2" name="AD_Tareas" displayName="AD_Tareas" ref="A14:U67" headerRowCount="1" totalsRowCount="0" totalsRowShown="0">
  <x:tableColumns count="21">
    <x:tableColumn id="1" name="ID"/>
    <x:tableColumn id="2" name="Especificación / funcionalidad"/>
    <x:tableColumn id="3" name="Tarea / entregable"/>
    <x:tableColumn id="4" name="Tipo"/>
    <x:tableColumn id="5" name="Seleccionada"/>
    <x:tableColumn id="6" name="Hito recomendado"/>
    <x:tableColumn id="7" name="Hito elegido"/>
    <x:tableColumn id="8" name="Horas recomendadas"/>
    <x:tableColumn id="9" name="Horas presupuestadas"/>
    <x:tableColumn id="10" name="Horas dedicadas"/>
    <x:tableColumn id="11" name="AT"/>
    <x:tableColumn id="12" name="Responsable"/>
    <x:tableColumn id="13" name="Sprint"/>
    <x:tableColumn id="14" name="% realizado"/>
    <x:tableColumn id="15" name="Estado"/>
    <x:tableColumn id="16" name="AT validados"/>
    <x:tableColumn id="17" name="AT progreso"/>
    <x:tableColumn id="18" name="Criterios de aceptación"/>
    <x:tableColumn id="19" name="Evidencia esperada"/>
    <x:tableColumn id="20" name="Dependencias"/>
    <x:tableColumn id="21" name="Observaciones"/>
  </x:tableColumns>
  <x:tableStyleInfo name="TableStyleMedium2" showFirstColumn="0" showLastColumn="0" showRowStripes="1" showColumnStripes="0"/>
</x:table>
</file>

<file path=xl/tables/table3.xml><?xml version="1.0" encoding="utf-8"?>
<x:table xmlns:x="http://schemas.openxmlformats.org/spreadsheetml/2006/main" id="3" name="PMDM_Tareas" displayName="PMDM_Tareas" ref="A14:U49" headerRowCount="1" totalsRowCount="0" totalsRowShown="0">
  <x:tableColumns count="21">
    <x:tableColumn id="1" name="ID"/>
    <x:tableColumn id="2" name="Especificación / funcionalidad"/>
    <x:tableColumn id="3" name="Tarea / entregable"/>
    <x:tableColumn id="4" name="Tipo"/>
    <x:tableColumn id="5" name="Seleccionada"/>
    <x:tableColumn id="6" name="Hito recomendado"/>
    <x:tableColumn id="7" name="Hito elegido"/>
    <x:tableColumn id="8" name="Horas recomendadas"/>
    <x:tableColumn id="9" name="Horas presupuestadas"/>
    <x:tableColumn id="10" name="Horas dedicadas"/>
    <x:tableColumn id="11" name="AT"/>
    <x:tableColumn id="12" name="Responsable"/>
    <x:tableColumn id="13" name="Sprint"/>
    <x:tableColumn id="14" name="% realizado"/>
    <x:tableColumn id="15" name="Estado"/>
    <x:tableColumn id="16" name="AT validados"/>
    <x:tableColumn id="17" name="AT progreso"/>
    <x:tableColumn id="18" name="Criterios de aceptación"/>
    <x:tableColumn id="19" name="Evidencia esperada"/>
    <x:tableColumn id="20" name="Dependencias"/>
    <x:tableColumn id="21" name="Observacion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32f74502e444e15" /></Relationships>
</file>

<file path=xl/worksheets/_rels/sheet2.xml.rels>&#65279;<?xml version="1.0" encoding="utf-8"?><Relationships xmlns="http://schemas.openxmlformats.org/package/2006/relationships"><Relationship Type="http://schemas.openxmlformats.org/officeDocument/2006/relationships/table" Target="/xl/tables/table1.xml" Id="R4873b7eafbbb452f" /></Relationships>
</file>

<file path=xl/worksheets/_rels/sheet3.xml.rels>&#65279;<?xml version="1.0" encoding="utf-8"?><Relationships xmlns="http://schemas.openxmlformats.org/package/2006/relationships"><Relationship Type="http://schemas.openxmlformats.org/officeDocument/2006/relationships/table" Target="/xl/tables/table2.xml" Id="Rfc8500f182aa4888" /></Relationships>
</file>

<file path=xl/worksheets/_rels/sheet4.xml.rels>&#65279;<?xml version="1.0" encoding="utf-8"?><Relationships xmlns="http://schemas.openxmlformats.org/package/2006/relationships"><Relationship Type="http://schemas.openxmlformats.org/officeDocument/2006/relationships/table" Target="/xl/tables/table3.xml" Id="Rb17e97d29a014f02" /></Relationships>
</file>

<file path=xl/worksheets/sheet1.xml><?xml version="1.0" encoding="utf-8"?>
<x:worksheet xmlns:x="http://schemas.openxmlformats.org/spreadsheetml/2006/main">
  <x:sheetFormatPr defaultRowHeight="15"/>
  <x:cols>
    <x:col min="2" max="2" width="26" hidden="0" customWidth="1"/>
    <x:col min="1" max="1" width="25" hidden="0" customWidth="1"/>
    <x:col min="3" max="3" width="15" hidden="0" customWidth="1"/>
    <x:col min="4" max="4" width="26" hidden="0" customWidth="1"/>
    <x:col min="5" max="5" width="14" hidden="0" customWidth="1"/>
    <x:col min="6" max="6" width="18" hidden="0" customWidth="1"/>
    <x:col min="7" max="7" width="12" hidden="0" customWidth="1"/>
    <x:col min="9" max="9" width="8" hidden="0" customWidth="1"/>
    <x:col min="10" max="10" width="18" hidden="0" customWidth="1"/>
    <x:col min="11" max="11" width="48" hidden="0" customWidth="1"/>
    <x:col min="8" max="8" width="3" hidden="0" customWidth="1"/>
  </x:cols>
  <x:sheetData>
    <x:row r="1" ht="5" customHeight="1">
      <x:c r="A1" s="125"/>
      <x:c r="B1" s="125"/>
      <x:c r="C1" s="125"/>
      <x:c r="D1" s="125"/>
      <x:c r="E1" s="125"/>
      <x:c r="F1" s="125"/>
      <x:c r="G1" s="125"/>
      <x:c r="H1" s="125"/>
      <x:c r="I1" s="125"/>
      <x:c r="J1" s="125"/>
      <x:c r="K1" s="125"/>
      <x:c r="L1" s="4"/>
      <x:c r="M1" s="4"/>
      <x:c r="N1" s="4"/>
    </x:row>
    <x:row r="2" ht="5" customHeight="1">
      <x:c r="A2" s="90"/>
      <x:c r="B2" s="90"/>
      <x:c r="C2" s="90"/>
      <x:c r="D2" s="90"/>
      <x:c r="E2" s="90"/>
      <x:c r="F2" s="90"/>
      <x:c r="G2" s="90"/>
      <x:c r="H2" s="90"/>
      <x:c r="I2" s="90"/>
      <x:c r="J2" s="90"/>
      <x:c r="K2" s="90"/>
      <x:c r="L2" s="45"/>
      <x:c r="M2" s="45"/>
      <x:c r="N2" s="45"/>
    </x:row>
    <x:row r="3" ht="34" customHeight="1">
      <x:c r="A3" s="240" t="str">
        <x:v>AulaFlow 2.0 · Presupuesto y contrato operativo v1.0</x:v>
      </x:c>
      <x:c r="B3" s="240"/>
      <x:c r="C3" s="240"/>
      <x:c r="D3" s="240"/>
      <x:c r="E3" s="240"/>
      <x:c r="F3" s="240"/>
      <x:c r="G3" s="240"/>
      <x:c r="H3" s="240"/>
      <x:c r="I3" s="240"/>
      <x:c r="J3" s="240"/>
      <x:c r="K3" s="240"/>
      <x:c r="L3" s="45"/>
      <x:c r="M3" s="45"/>
      <x:c r="N3" s="45"/>
    </x:row>
    <x:row r="4" ht="34" customHeight="1">
      <x:c r="A4" s="90" t="str">
        <x:v>Datos enlazados a 16 Contrato firma; detalle individual en 12 Reparto. Catálogo original: 264 tareas, 572 AT; núcleo: 96 tareas, 150 AT.</x:v>
      </x:c>
      <x:c r="B4" s="90"/>
      <x:c r="C4" s="90"/>
      <x:c r="D4" s="90"/>
      <x:c r="E4" s="90"/>
      <x:c r="F4" s="90"/>
      <x:c r="G4" s="90"/>
      <x:c r="H4" s="90"/>
      <x:c r="I4" s="90"/>
      <x:c r="J4" s="90"/>
      <x:c r="K4" s="90"/>
    </x:row>
    <x:row r="5" ht="30" customHeight="1">
      <x:c r="A5" s="182" t="str">
        <x:v>DATOS DEL EQUIPO</x:v>
      </x:c>
      <x:c r="B5" s="182" t="str"/>
      <x:c r="C5" s="16"/>
      <x:c r="D5" s="182" t="str">
        <x:v>REGLA DE NÚCLEO</x:v>
      </x:c>
      <x:c r="E5" s="182" t="str">
        <x:v>AT</x:v>
      </x:c>
      <x:c r="F5" s="182" t="str">
        <x:v>Estado</x:v>
      </x:c>
      <x:c r="G5" s="16"/>
      <x:c r="H5" s="16"/>
      <x:c r="I5" s="16"/>
      <x:c r="J5" s="16"/>
      <x:c r="K5" s="16"/>
    </x:row>
    <x:row r="6" ht="30" customHeight="1">
      <x:c r="A6" s="82" t="str">
        <x:v>Nombre del equipo</x:v>
      </x:c>
      <x:c r="B6" s="153" t="str">
        <x:f>IF('16 Contrato firma'!B5="","",'16 Contrato firma'!B5)</x:f>
      </x:c>
      <x:c r="C6" s="16"/>
      <x:c r="D6" s="82" t="str">
        <x:v>PI II · tareas OBL</x:v>
      </x:c>
      <x:c r="E6" s="82" t="n">
        <x:v>25</x:v>
      </x:c>
      <x:c r="F6" s="82" t="str">
        <x:v>Desglosado</x:v>
      </x:c>
      <x:c r="G6" s="16"/>
      <x:c r="H6" s="16"/>
      <x:c r="I6" s="16"/>
      <x:c r="J6" s="16"/>
      <x:c r="K6" s="16"/>
    </x:row>
    <x:row r="7" ht="30" customHeight="1">
      <x:c r="A7" s="82" t="str">
        <x:v>Integrante 1</x:v>
      </x:c>
      <x:c r="B7" s="153" t="str">
        <x:f>IF('16 Contrato firma'!B7="","",'16 Contrato firma'!B7)</x:f>
      </x:c>
      <x:c r="C7" s="16"/>
      <x:c r="D7" s="82" t="str">
        <x:v>AD · tareas OBL</x:v>
      </x:c>
      <x:c r="E7" s="82" t="n">
        <x:v>70</x:v>
      </x:c>
      <x:c r="F7" s="82" t="str">
        <x:v>Desglosado</x:v>
      </x:c>
      <x:c r="G7" s="16"/>
      <x:c r="H7" s="16"/>
      <x:c r="I7" s="16"/>
      <x:c r="J7" s="16"/>
      <x:c r="K7" s="16"/>
    </x:row>
    <x:row r="8" ht="30" customHeight="1">
      <x:c r="A8" s="82" t="str">
        <x:v>Integrante 2</x:v>
      </x:c>
      <x:c r="B8" s="153" t="str">
        <x:f>IF('16 Contrato firma'!B8="","",'16 Contrato firma'!B8)</x:f>
      </x:c>
      <x:c r="C8" s="16"/>
      <x:c r="D8" s="82" t="str">
        <x:v>PMDM · tareas OBL</x:v>
      </x:c>
      <x:c r="E8" s="82" t="n">
        <x:v>25</x:v>
      </x:c>
      <x:c r="F8" s="82" t="str">
        <x:v>Desglosado</x:v>
      </x:c>
      <x:c r="G8" s="16"/>
      <x:c r="H8" s="16"/>
      <x:c r="I8" s="16"/>
      <x:c r="J8" s="16"/>
      <x:c r="K8" s="16"/>
    </x:row>
    <x:row r="9" ht="30" customHeight="1">
      <x:c r="A9" s="82" t="str">
        <x:v>Integrante 3</x:v>
      </x:c>
      <x:c r="B9" s="153" t="str">
        <x:f>IF('16 Contrato firma'!B9="","",'16 Contrato firma'!B9)</x:f>
      </x:c>
      <x:c r="C9" s="16"/>
      <x:c r="D9" s="82" t="str">
        <x:v>DI · tareas OBL</x:v>
      </x:c>
      <x:c r="E9" s="82" t="n">
        <x:v>30</x:v>
      </x:c>
      <x:c r="F9" s="82" t="str">
        <x:v>Desglosado</x:v>
      </x:c>
      <x:c r="G9" s="16"/>
      <x:c r="H9" s="16"/>
      <x:c r="I9" s="16"/>
      <x:c r="J9" s="16"/>
      <x:c r="K9" s="16"/>
    </x:row>
    <x:row r="10" ht="30" customHeight="1">
      <x:c r="A10" s="82" t="str">
        <x:v>Integrante 4</x:v>
      </x:c>
      <x:c r="B10" s="153" t="str">
        <x:f>IF('16 Contrato firma'!B10="","",'16 Contrato firma'!B10)</x:f>
      </x:c>
      <x:c r="C10" s="16"/>
      <x:c r="D10" s="242" t="str">
        <x:v>TOTAL NÚCLEO</x:v>
      </x:c>
      <x:c r="E10" s="242" t="n">
        <x:v>150</x:v>
      </x:c>
      <x:c r="F10" s="243" t="str">
        <x:v>Debe = 150</x:v>
      </x:c>
      <x:c r="G10" s="16"/>
      <x:c r="H10" s="16"/>
      <x:c r="I10" s="16"/>
      <x:c r="J10" s="16"/>
      <x:c r="K10" s="16"/>
    </x:row>
    <x:row r="11" ht="30" customHeight="1">
      <x:c r="A11" s="82" t="str">
        <x:v>Repositorio GitHub</x:v>
      </x:c>
      <x:c r="B11" s="82" t="str">
        <x:f>IF('16 Contrato firma'!B6="","",'16 Contrato firma'!B6)</x:f>
      </x:c>
      <x:c r="C11" s="16"/>
      <x:c r="D11" s="16" t="str">
        <x:v>Nº real de integrantes</x:v>
      </x:c>
      <x:c r="E11" s="16" t="n">
        <x:f>'16 Contrato firma'!B11</x:f>
        <x:v>0</x:v>
      </x:c>
      <x:c r="F11" s="16" t="str">
        <x:f>'16 Contrato firma'!E11</x:f>
        <x:v>PENDIENTE_INTEGRANTES</x:v>
      </x:c>
      <x:c r="G11" s="16"/>
      <x:c r="H11" s="16"/>
      <x:c r="I11" s="16"/>
      <x:c r="J11" s="16"/>
      <x:c r="K11" s="16"/>
    </x:row>
    <x:row r="12">
      <x:c r="A12" s="132" t="str">
        <x:v>Módulo</x:v>
      </x:c>
      <x:c r="B12" s="132" t="str">
        <x:v>AT OBL</x:v>
      </x:c>
      <x:c r="C12" s="132" t="str">
        <x:v>AT ofertados</x:v>
      </x:c>
      <x:c r="D12" s="132" t="str">
        <x:v>AT seleccionados</x:v>
      </x:c>
      <x:c r="E12" s="132" t="str">
        <x:v>AT validados</x:v>
      </x:c>
      <x:c r="F12" s="132" t="str">
        <x:v>Horas presupuesto</x:v>
      </x:c>
      <x:c r="G12" s="132" t="str">
        <x:v>Progreso</x:v>
      </x:c>
    </x:row>
    <x:row r="13" ht="22" customHeight="1">
      <x:c r="A13" s="157" t="str">
        <x:v>PI II</x:v>
      </x:c>
      <x:c r="B13" s="157" t="n">
        <x:f>'01 PI II'!B5</x:f>
        <x:v>25</x:v>
      </x:c>
      <x:c r="C13" s="157" t="n">
        <x:f>'01 PI II'!B6</x:f>
        <x:v>52</x:v>
      </x:c>
      <x:c r="D13" s="157" t="n">
        <x:f>'01 PI II'!B7</x:f>
        <x:v>25</x:v>
      </x:c>
      <x:c r="E13" s="157" t="n">
        <x:f>'01 PI II'!B8</x:f>
        <x:v>0</x:v>
      </x:c>
      <x:c r="F13" s="157" t="n">
        <x:f>'01 PI II'!B10</x:f>
        <x:v>55</x:v>
      </x:c>
      <x:c r="G13" s="158" t="n">
        <x:f>'01 PI II'!B12</x:f>
        <x:v>0</x:v>
      </x:c>
    </x:row>
    <x:row r="14" ht="22" customHeight="1">
      <x:c r="A14" s="157" t="str">
        <x:v>Acceso a Datos</x:v>
      </x:c>
      <x:c r="B14" s="157" t="n">
        <x:f>'02 AD'!B5</x:f>
        <x:v>70</x:v>
      </x:c>
      <x:c r="C14" s="157" t="n">
        <x:f>'02 AD'!B6</x:f>
        <x:v>142</x:v>
      </x:c>
      <x:c r="D14" s="157" t="n">
        <x:f>'02 AD'!B7</x:f>
        <x:v>70</x:v>
      </x:c>
      <x:c r="E14" s="157" t="n">
        <x:f>'02 AD'!B8</x:f>
        <x:v>0</x:v>
      </x:c>
      <x:c r="F14" s="157" t="n">
        <x:f>'02 AD'!B10</x:f>
        <x:v>131</x:v>
      </x:c>
      <x:c r="G14" s="158" t="n">
        <x:f>'02 AD'!B12</x:f>
        <x:v>0</x:v>
      </x:c>
    </x:row>
    <x:row r="15" ht="22" customHeight="1">
      <x:c r="A15" s="157" t="str">
        <x:v>PMDM</x:v>
      </x:c>
      <x:c r="B15" s="157" t="n">
        <x:f>'03 PMDM'!B5</x:f>
        <x:v>25</x:v>
      </x:c>
      <x:c r="C15" s="157" t="n">
        <x:f>'03 PMDM'!B6</x:f>
        <x:v>73</x:v>
      </x:c>
      <x:c r="D15" s="157" t="n">
        <x:f>'03 PMDM'!B7</x:f>
        <x:v>25</x:v>
      </x:c>
      <x:c r="E15" s="157" t="n">
        <x:f>'03 PMDM'!B8</x:f>
        <x:v>0</x:v>
      </x:c>
      <x:c r="F15" s="157" t="n">
        <x:f>'03 PMDM'!B10</x:f>
        <x:v>69</x:v>
      </x:c>
      <x:c r="G15" s="158" t="n">
        <x:f>'03 PMDM'!B12</x:f>
        <x:v>0</x:v>
      </x:c>
    </x:row>
    <x:row r="16" ht="22" customHeight="1">
      <x:c r="A16" s="157" t="str">
        <x:v>Desarrollo de Interfaces</x:v>
      </x:c>
      <x:c r="B16" s="157" t="n">
        <x:f>'05 DI'!B5</x:f>
        <x:v>30</x:v>
      </x:c>
      <x:c r="C16" s="157" t="n">
        <x:f>'05 DI'!B6</x:f>
        <x:v>64</x:v>
      </x:c>
      <x:c r="D16" s="157" t="n">
        <x:f>'05 DI'!B7</x:f>
        <x:v>30</x:v>
      </x:c>
      <x:c r="E16" s="157" t="n">
        <x:f>'05 DI'!B8</x:f>
        <x:v>0</x:v>
      </x:c>
      <x:c r="F16" s="157" t="n">
        <x:f>'05 DI'!B10</x:f>
        <x:v>65</x:v>
      </x:c>
      <x:c r="G16" s="158" t="n">
        <x:f>'05 DI'!B12</x:f>
        <x:v>0</x:v>
      </x:c>
    </x:row>
    <x:row r="17" ht="22" customHeight="1">
      <x:c r="A17" s="159" t="str">
        <x:v>PSP</x:v>
      </x:c>
      <x:c r="B17" s="159" t="n">
        <x:f>'06 PSP'!B5</x:f>
        <x:v>0</x:v>
      </x:c>
      <x:c r="C17" s="159" t="n">
        <x:f>'06 PSP'!B6</x:f>
        <x:v>61</x:v>
      </x:c>
      <x:c r="D17" s="159" t="n">
        <x:f>'06 PSP'!B7</x:f>
        <x:v>0</x:v>
      </x:c>
      <x:c r="E17" s="159" t="n">
        <x:f>'06 PSP'!B8</x:f>
        <x:v>0</x:v>
      </x:c>
      <x:c r="F17" s="159" t="n">
        <x:f>'06 PSP'!B10</x:f>
        <x:v>0</x:v>
      </x:c>
      <x:c r="G17" s="160" t="n">
        <x:f>'06 PSP'!B12</x:f>
        <x:v>0</x:v>
      </x:c>
    </x:row>
    <x:row r="18" ht="22" customHeight="1">
      <x:c r="A18" s="161" t="str">
        <x:v>SGE</x:v>
      </x:c>
      <x:c r="B18" s="161" t="n">
        <x:f>'07 SGE'!B5</x:f>
        <x:v>0</x:v>
      </x:c>
      <x:c r="C18" s="161" t="n">
        <x:f>'07 SGE'!B6</x:f>
        <x:v>49</x:v>
      </x:c>
      <x:c r="D18" s="161" t="n">
        <x:f>'07 SGE'!B7</x:f>
        <x:v>0</x:v>
      </x:c>
      <x:c r="E18" s="161" t="n">
        <x:f>'07 SGE'!B8</x:f>
        <x:v>0</x:v>
      </x:c>
      <x:c r="F18" s="161" t="n">
        <x:f>'07 SGE'!B10</x:f>
        <x:v>0</x:v>
      </x:c>
      <x:c r="G18" s="162" t="n">
        <x:f>'07 SGE'!B12</x:f>
        <x:v>0</x:v>
      </x:c>
    </x:row>
    <x:row r="19" ht="22" customHeight="1">
      <x:c r="A19" s="161" t="str">
        <x:v>Nube Pública</x:v>
      </x:c>
      <x:c r="B19" s="161" t="n">
        <x:f>'08 Nube'!B5</x:f>
        <x:v>0</x:v>
      </x:c>
      <x:c r="C19" s="161" t="n">
        <x:f>'08 Nube'!B6</x:f>
        <x:v>62</x:v>
      </x:c>
      <x:c r="D19" s="161" t="n">
        <x:f>'08 Nube'!B7</x:f>
        <x:v>0</x:v>
      </x:c>
      <x:c r="E19" s="161" t="n">
        <x:f>'08 Nube'!B8</x:f>
        <x:v>0</x:v>
      </x:c>
      <x:c r="F19" s="161" t="n">
        <x:f>'08 Nube'!B10</x:f>
        <x:v>0</x:v>
      </x:c>
      <x:c r="G19" s="162" t="n">
        <x:f>'08 Nube'!B12</x:f>
        <x:v>0</x:v>
      </x:c>
    </x:row>
    <x:row r="20" ht="22" customHeight="1">
      <x:c r="A20" s="163" t="str">
        <x:v>Digitalización</x:v>
      </x:c>
      <x:c r="B20" s="163" t="n">
        <x:f>'09 Digital'!B5</x:f>
        <x:v>0</x:v>
      </x:c>
      <x:c r="C20" s="163" t="n">
        <x:f>'09 Digital'!B6</x:f>
        <x:v>25</x:v>
      </x:c>
      <x:c r="D20" s="163" t="n">
        <x:f>'09 Digital'!B7</x:f>
        <x:v>0</x:v>
      </x:c>
      <x:c r="E20" s="163" t="n">
        <x:f>'09 Digital'!B8</x:f>
        <x:v>0</x:v>
      </x:c>
      <x:c r="F20" s="163" t="n">
        <x:f>'09 Digital'!B10</x:f>
        <x:v>0</x:v>
      </x:c>
      <x:c r="G20" s="162" t="n">
        <x:f>'09 Digital'!B12</x:f>
        <x:v>0</x:v>
      </x:c>
      <x:c r="I20" s="11"/>
      <x:c r="J20" s="11"/>
      <x:c r="K20" s="11"/>
      <x:c r="L20" s="11"/>
      <x:c r="M20" s="11"/>
      <x:c r="N20" s="11"/>
    </x:row>
    <x:row r="21" ht="22" customHeight="1">
      <x:c r="A21" s="164" t="str">
        <x:v>Sostenibilidad</x:v>
      </x:c>
      <x:c r="B21" s="164" t="n">
        <x:f>'10 Sostenib'!B5</x:f>
        <x:v>0</x:v>
      </x:c>
      <x:c r="C21" s="164" t="n">
        <x:f>'10 Sostenib'!B6</x:f>
        <x:v>16</x:v>
      </x:c>
      <x:c r="D21" s="164" t="n">
        <x:f>'10 Sostenib'!B7</x:f>
        <x:v>0</x:v>
      </x:c>
      <x:c r="E21" s="161" t="n">
        <x:f>'10 Sostenib'!B8</x:f>
        <x:v>0</x:v>
      </x:c>
      <x:c r="F21" s="161" t="n">
        <x:f>'10 Sostenib'!B10</x:f>
        <x:v>0</x:v>
      </x:c>
      <x:c r="G21" s="162" t="n">
        <x:f>'10 Sostenib'!B12</x:f>
        <x:v>0</x:v>
      </x:c>
      <x:c r="I21" s="16"/>
      <x:c r="J21" s="16"/>
      <x:c r="K21" s="16"/>
    </x:row>
    <x:row r="22" ht="22" customHeight="1">
      <x:c r="A22" s="164" t="str">
        <x:v>IPE II</x:v>
      </x:c>
      <x:c r="B22" s="164" t="n">
        <x:f>'11 IPE II'!B5</x:f>
        <x:v>0</x:v>
      </x:c>
      <x:c r="C22" s="164" t="n">
        <x:f>'11 IPE II'!B6</x:f>
        <x:v>28</x:v>
      </x:c>
      <x:c r="D22" s="164" t="n">
        <x:f>'11 IPE II'!B7</x:f>
        <x:v>0</x:v>
      </x:c>
      <x:c r="E22" s="161" t="n">
        <x:f>'11 IPE II'!B8</x:f>
        <x:v>0</x:v>
      </x:c>
      <x:c r="F22" s="161" t="n">
        <x:f>'11 IPE II'!B10</x:f>
        <x:v>0</x:v>
      </x:c>
      <x:c r="G22" s="162" t="n">
        <x:f>'11 IPE II'!B12</x:f>
        <x:v>0</x:v>
      </x:c>
      <x:c r="I22" s="16"/>
      <x:c r="J22" s="16"/>
      <x:c r="K22" s="16"/>
    </x:row>
    <x:row r="23" ht="22" customHeight="1">
      <x:c r="A23" s="145" t="str">
        <x:v>TOTAL</x:v>
      </x:c>
      <x:c r="B23" s="145" t="n">
        <x:f>SUM(B13:B22)</x:f>
        <x:v>150</x:v>
      </x:c>
      <x:c r="C23" s="145" t="n">
        <x:f>SUM(C13:C22)</x:f>
        <x:v>572</x:v>
      </x:c>
      <x:c r="D23" s="145" t="n">
        <x:f>SUM(D13:D22)</x:f>
        <x:v>150</x:v>
      </x:c>
      <x:c r="E23" s="113" t="n">
        <x:f>SUM(E13:E22)</x:f>
        <x:v>0</x:v>
      </x:c>
      <x:c r="F23" s="113" t="n">
        <x:f>SUM(F13:F22)</x:f>
        <x:v>320</x:v>
      </x:c>
      <x:c r="G23" s="146" t="n">
        <x:f>IF(D23=0,0,SUMPRODUCT(D13:D22,G13:G22)/D23)</x:f>
        <x:v>0</x:v>
      </x:c>
      <x:c r="I23" s="16"/>
      <x:c r="J23" s="16"/>
      <x:c r="K23" s="16"/>
    </x:row>
    <x:row r="24">
      <x:c r="A24" s="16"/>
      <x:c r="B24" s="16"/>
      <x:c r="C24" s="16"/>
      <x:c r="D24" s="16"/>
      <x:c r="E24"/>
      <x:c r="F24"/>
      <x:c r="I24" s="16"/>
      <x:c r="J24" s="16"/>
      <x:c r="K24" s="16"/>
    </x:row>
    <x:row r="25">
      <x:c r="A25" s="16"/>
      <x:c r="B25" s="16"/>
      <x:c r="C25" s="16"/>
      <x:c r="D25" s="16"/>
      <x:c r="E25"/>
      <x:c r="F25"/>
      <x:c r="I25" s="16"/>
      <x:c r="J25" s="16"/>
      <x:c r="K25" s="16"/>
    </x:row>
    <x:row r="26" ht="44" customHeight="1">
      <x:c r="A26" s="200" t="str">
        <x:v>Referencia: 3 personas</x:v>
      </x:c>
      <x:c r="B26" s="200" t="str">
        <x:v>AT equipo objetivo</x:v>
      </x:c>
      <x:c r="C26" s="200" t="str">
        <x:v>Equipo de 3 equilibrado</x:v>
      </x:c>
      <x:c r="D26" s="200" t="str">
        <x:v>Techo de referencia</x:v>
      </x:c>
      <x:c r="E26"/>
      <x:c r="F26"/>
      <x:c r="G26"/>
      <x:c r="H26"/>
      <x:c r="I26" s="150" t="str">
        <x:v>FLUJO OPERATIVO</x:v>
      </x:c>
      <x:c r="J26" s="150"/>
      <x:c r="K26" s="150"/>
    </x:row>
    <x:row r="27" ht="22" customHeight="1">
      <x:c r="A27" s="166" t="str">
        <x:v>Umbral 5</x:v>
      </x:c>
      <x:c r="B27" s="166" t="n">
        <x:v>150</x:v>
      </x:c>
      <x:c r="C27" s="166" t="n">
        <x:v>50</x:v>
      </x:c>
      <x:c r="D27" s="166" t="n">
        <x:v>5</x:v>
      </x:c>
      <x:c r="E27"/>
      <x:c r="F27"/>
      <x:c r="G27"/>
      <x:c r="H27"/>
      <x:c r="I27" s="170" t="str">
        <x:v>1</x:v>
      </x:c>
      <x:c r="J27" s="170" t="str">
        <x:v>Contrato</x:v>
      </x:c>
      <x:c r="K27" s="170" t="str">
        <x:v>Elegir OPT/ADV, responsable, hito y horas presupuestadas</x:v>
      </x:c>
    </x:row>
    <x:row r="28" ht="22" customHeight="1">
      <x:c r="A28" s="166" t="str">
        <x:v>Umbral 6</x:v>
      </x:c>
      <x:c r="B28" s="166" t="n">
        <x:v>180</x:v>
      </x:c>
      <x:c r="C28" s="166" t="n">
        <x:v>60</x:v>
      </x:c>
      <x:c r="D28" s="166" t="n">
        <x:v>6</x:v>
      </x:c>
      <x:c r="E28"/>
      <x:c r="F28"/>
      <x:c r="G28"/>
      <x:c r="H28"/>
      <x:c r="I28" s="166" t="str">
        <x:v>2</x:v>
      </x:c>
      <x:c r="J28" s="166" t="str">
        <x:v>Backlog</x:v>
      </x:c>
      <x:c r="K28" s="166" t="str">
        <x:v>Cada fila seleccionada puede convertirse en issue</x:v>
      </x:c>
    </x:row>
    <x:row r="29" ht="22" customHeight="1">
      <x:c r="A29" s="168" t="str">
        <x:v>Umbral 7</x:v>
      </x:c>
      <x:c r="B29" s="168" t="n">
        <x:v>210</x:v>
      </x:c>
      <x:c r="C29" s="168" t="n">
        <x:v>70</x:v>
      </x:c>
      <x:c r="D29" s="168" t="n">
        <x:v>7</x:v>
      </x:c>
      <x:c r="E29" s="62"/>
      <x:c r="F29" s="62"/>
      <x:c r="G29" s="62"/>
      <x:c r="H29" s="62"/>
      <x:c r="I29" s="168" t="str">
        <x:v>3</x:v>
      </x:c>
      <x:c r="J29" s="168" t="str">
        <x:v>Sprint</x:v>
      </x:c>
      <x:c r="K29" s="168" t="str">
        <x:v>Asignar sprint y comprobar capacidad/dependencias</x:v>
      </x:c>
      <x:c r="L29" s="62"/>
      <x:c r="M29" s="62"/>
      <x:c r="N29" s="62"/>
    </x:row>
    <x:row r="30" ht="22" customHeight="1">
      <x:c r="A30" s="168" t="str">
        <x:v>Umbral 8</x:v>
      </x:c>
      <x:c r="B30" s="168" t="n">
        <x:v>240</x:v>
      </x:c>
      <x:c r="C30" s="168" t="n">
        <x:v>80</x:v>
      </x:c>
      <x:c r="D30" s="168" t="n">
        <x:v>8</x:v>
      </x:c>
      <x:c r="E30" s="62"/>
      <x:c r="F30" s="62"/>
      <x:c r="G30" s="62"/>
      <x:c r="H30" s="62"/>
      <x:c r="I30" s="168" t="str">
        <x:v>4</x:v>
      </x:c>
      <x:c r="J30" s="168" t="str">
        <x:v>Ejecución</x:v>
      </x:c>
      <x:c r="K30" s="168" t="str">
        <x:v>Actualizar horas dedicadas, % y estado</x:v>
      </x:c>
      <x:c r="L30" s="62"/>
      <x:c r="M30" s="62"/>
      <x:c r="N30" s="62"/>
    </x:row>
    <x:row r="31" ht="22" customHeight="1">
      <x:c r="A31" s="168" t="str">
        <x:v>Umbral 9</x:v>
      </x:c>
      <x:c r="B31" s="168" t="n">
        <x:v>270</x:v>
      </x:c>
      <x:c r="C31" s="168" t="n">
        <x:v>90</x:v>
      </x:c>
      <x:c r="D31" s="168" t="n">
        <x:v>9</x:v>
      </x:c>
      <x:c r="E31" s="62"/>
      <x:c r="F31" s="62"/>
      <x:c r="G31" s="62"/>
      <x:c r="H31" s="62"/>
      <x:c r="I31" s="168" t="str">
        <x:v>5</x:v>
      </x:c>
      <x:c r="J31" s="168" t="str">
        <x:v>Review</x:v>
      </x:c>
      <x:c r="K31" s="168" t="str">
        <x:v>PR + tests + criterios de aceptación</x:v>
      </x:c>
      <x:c r="L31" s="62"/>
      <x:c r="M31" s="62"/>
      <x:c r="N31" s="62"/>
    </x:row>
    <x:row r="32" ht="22" customHeight="1">
      <x:c r="A32" s="166" t="str">
        <x:v>Umbral 10</x:v>
      </x:c>
      <x:c r="B32" s="166" t="n">
        <x:v>300</x:v>
      </x:c>
      <x:c r="C32" s="166" t="n">
        <x:v>100</x:v>
      </x:c>
      <x:c r="D32" s="166" t="n">
        <x:v>10</x:v>
      </x:c>
      <x:c r="E32"/>
      <x:c r="F32"/>
      <x:c r="G32"/>
      <x:c r="H32"/>
      <x:c r="I32" s="166" t="str">
        <x:v>6</x:v>
      </x:c>
      <x:c r="J32" s="166" t="str">
        <x:v>Aceptación</x:v>
      </x:c>
      <x:c r="K32" s="166" t="str">
        <x:v>Solo ACEPTADA valida AT</x:v>
      </x:c>
    </x:row>
    <x:row r="33" ht="22" customHeight="1">
      <x:c r="I33" s="166" t="str">
        <x:v>7</x:v>
      </x:c>
      <x:c r="J33" s="166" t="str">
        <x:v>Retrospectiva</x:v>
      </x:c>
      <x:c r="K33" s="166" t="str">
        <x:v>Comparar horas recomendadas / presupuestadas / reales</x:v>
      </x:c>
    </x:row>
    <x:row r="35" ht="40" customHeight="1">
      <x:c r="A35" s="177" t="str">
        <x:v>La escala individual conserva 50/60/70/80/90/100 AT efectivos → 5/6/7/8/9/10. El tamaño real (2–4) se calcula desde la lista de integrantes; el núcleo de 150 AT se mantiene.</x:v>
      </x:c>
      <x:c r="B35" s="177"/>
      <x:c r="C35" s="177"/>
      <x:c r="D35" s="177"/>
      <x:c r="E35" s="177"/>
      <x:c r="F35" s="177"/>
      <x:c r="G35" s="177"/>
      <x:c r="H35" s="177"/>
      <x:c r="I35" s="177"/>
      <x:c r="J35" s="177"/>
      <x:c r="K35" s="177"/>
    </x:row>
  </x:sheetData>
  <x:mergeCells>
    <x:mergeCell ref="A3:K3"/>
    <x:mergeCell ref="A4:K4"/>
    <x:mergeCell ref="A35:K35"/>
    <x:mergeCell ref="F11:K11"/>
    <x:mergeCell ref="I26:K26"/>
  </x:mergeCells>
  <x:pageMargins left="0.7" right="0.7" top="0.75" bottom="0.75" header="0.3" footer="0.3"/>
  <x:drawing xmlns:r="http://schemas.openxmlformats.org/officeDocument/2006/relationships" r:id="R432f74502e444e15"/>
</x:worksheet>
</file>

<file path=xl/worksheets/sheet2.xml><?xml version="1.0" encoding="utf-8"?>
<x:worksheet xmlns:x="http://schemas.openxmlformats.org/spreadsheetml/2006/main">
  <x:sheetFormatPr defaultRowHeight="15"/>
  <x:cols>
    <x:col min="1" max="1" width="16" hidden="0" customWidth="1"/>
    <x:col min="2" max="2" width="24" hidden="0" customWidth="1"/>
    <x:col min="3" max="3" width="48" hidden="0" customWidth="1"/>
    <x:col min="4" max="4" width="9" hidden="0" customWidth="1"/>
    <x:col min="5" max="5" width="11" hidden="0" customWidth="1"/>
    <x:col min="6" max="6" width="14" hidden="0" customWidth="1"/>
    <x:col min="7" max="7" width="14" hidden="0" customWidth="1"/>
    <x:col min="8" max="8" width="12" hidden="0" customWidth="1"/>
    <x:col min="9" max="9" width="12" hidden="0" customWidth="1"/>
    <x:col min="10" max="10" width="12" hidden="0" customWidth="1"/>
    <x:col min="11" max="11" width="7" hidden="0" customWidth="1"/>
    <x:col min="12" max="12" width="16" hidden="0" customWidth="1"/>
    <x:col min="13" max="13" width="10" hidden="0" customWidth="1"/>
    <x:col min="14" max="14" width="10" hidden="0" customWidth="1"/>
    <x:col min="15" max="15" width="16" hidden="0" customWidth="1"/>
    <x:col min="16" max="16" width="11" hidden="0" customWidth="1"/>
    <x:col min="17" max="17" width="11" hidden="0" customWidth="1"/>
    <x:col min="18" max="18" width="52" hidden="0" customWidth="1"/>
    <x:col min="19" max="19" width="30" hidden="0" customWidth="1"/>
    <x:col min="20" max="20" width="28" hidden="0" customWidth="1"/>
    <x:col min="21" max="21" width="28" hidden="0" customWidth="1"/>
  </x:cols>
  <x:sheetData>
    <x:row r="1" ht="28" customHeight="1">
      <x:c r="A1" s="88" t="str">
        <x:v>PI II · Presupuesto de tareas · AulaFlow 2.0 · v1.0 · copia operativa</x:v>
      </x:c>
      <x:c r="B1" s="88"/>
      <x:c r="C1" s="88"/>
      <x:c r="D1" s="88"/>
      <x:c r="E1" s="88"/>
      <x:c r="F1" s="88"/>
      <x:c r="G1" s="88"/>
      <x:c r="H1" s="88"/>
      <x:c r="I1" s="88"/>
      <x:c r="J1" s="88"/>
      <x:c r="K1" s="88"/>
      <x:c r="L1" s="88"/>
      <x:c r="M1" s="88"/>
      <x:c r="N1" s="88"/>
      <x:c r="O1" s="88"/>
      <x:c r="P1" s="88"/>
      <x:c r="Q1" s="88"/>
      <x:c r="R1" s="88"/>
      <x:c r="S1" s="88"/>
      <x:c r="T1" s="88"/>
      <x:c r="U1" s="88"/>
    </x:row>
    <x:row r="2" ht="40" customHeight="1">
      <x:c r="A2" s="91" t="str">
        <x:v>Gobierno del proyecto: legado, contrato, planificación, seguimiento, cambios, calidad, release y defensa. Los 25 AT OBL forman parte del núcleo de 150 AT. Las horas son horas-persona totales del equipo para cada tarea.</x:v>
      </x:c>
      <x:c r="B2" s="91"/>
      <x:c r="C2" s="91"/>
      <x:c r="D2" s="91"/>
      <x:c r="E2" s="91"/>
      <x:c r="F2" s="91"/>
      <x:c r="G2" s="91"/>
      <x:c r="H2" s="91"/>
      <x:c r="I2" s="91"/>
      <x:c r="J2" s="91"/>
      <x:c r="K2" s="91"/>
      <x:c r="L2" s="91"/>
      <x:c r="M2" s="91"/>
      <x:c r="N2" s="91"/>
      <x:c r="O2" s="91"/>
      <x:c r="P2" s="91"/>
      <x:c r="Q2" s="91"/>
      <x:c r="R2" s="91"/>
      <x:c r="S2" s="91"/>
      <x:c r="T2" s="91"/>
      <x:c r="U2" s="91"/>
    </x:row>
    <x:row r="4">
      <x:c r="A4" s="79" t="str">
        <x:v>RESUMEN</x:v>
      </x:c>
      <x:c r="B4" s="79" t="str">
        <x:v>VALOR</x:v>
      </x:c>
    </x:row>
    <x:row r="5">
      <x:c r="A5" s="95" t="str">
        <x:v>AT obligatorios ofertados</x:v>
      </x:c>
      <x:c r="B5" s="96" t="n">
        <x:f>SUMIF(D15:D48,"OBL",K15:K48)</x:f>
        <x:v>25</x:v>
      </x:c>
    </x:row>
    <x:row r="6">
      <x:c r="A6" s="95" t="str">
        <x:v>AT totales ofertados</x:v>
      </x:c>
      <x:c r="B6" s="96" t="n">
        <x:f>SUM(K15:K48)</x:f>
        <x:v>52</x:v>
      </x:c>
    </x:row>
    <x:row r="7">
      <x:c r="A7" s="95" t="str">
        <x:v>AT seleccionados</x:v>
      </x:c>
      <x:c r="B7" s="96" t="n">
        <x:f>SUMIF(E15:E48,"Sí",K15:K48)</x:f>
        <x:v>25</x:v>
      </x:c>
    </x:row>
    <x:row r="8">
      <x:c r="A8" s="95" t="str">
        <x:v>AT validados</x:v>
      </x:c>
      <x:c r="B8" s="96" t="n">
        <x:f>SUM(P15:P48)</x:f>
        <x:v>0</x:v>
      </x:c>
    </x:row>
    <x:row r="9">
      <x:c r="A9" s="95" t="str">
        <x:v>Horas recomendadas seleccionadas</x:v>
      </x:c>
      <x:c r="B9" s="96" t="n">
        <x:f>SUMIF(E15:E48,"Sí",H15:H48)</x:f>
        <x:v>55</x:v>
      </x:c>
    </x:row>
    <x:row r="10">
      <x:c r="A10" s="95" t="str">
        <x:v>Horas presupuestadas seleccionadas</x:v>
      </x:c>
      <x:c r="B10" s="96" t="n">
        <x:f>SUMIF(E15:E48,"Sí",I15:I48)</x:f>
        <x:v>55</x:v>
      </x:c>
    </x:row>
    <x:row r="11">
      <x:c r="A11" s="95" t="str">
        <x:v>Horas dedicadas</x:v>
      </x:c>
      <x:c r="B11" s="96" t="n">
        <x:f>SUM(J15:J48)</x:f>
        <x:v>0</x:v>
      </x:c>
    </x:row>
    <x:row r="12">
      <x:c r="A12" s="95" t="str">
        <x:v>Progreso ponderado por AT</x:v>
      </x:c>
      <x:c r="B12" s="97" t="n">
        <x:f>IF(B7=0,0,SUM(Q15:Q48)/B7)</x:f>
        <x:v>0</x:v>
      </x:c>
    </x:row>
    <x:row r="14" ht="44" customHeight="1">
      <x:c r="A14" s="100" t="str">
        <x:v>ID</x:v>
      </x:c>
      <x:c r="B14" s="100" t="str">
        <x:v>Especificación / funcionalidad</x:v>
      </x:c>
      <x:c r="C14" s="100" t="str">
        <x:v>Tarea / entregable</x:v>
      </x:c>
      <x:c r="D14" s="100" t="str">
        <x:v>Tipo</x:v>
      </x:c>
      <x:c r="E14" s="100" t="str">
        <x:v>Seleccionada</x:v>
      </x:c>
      <x:c r="F14" s="100" t="str">
        <x:v>Hito recomendado</x:v>
      </x:c>
      <x:c r="G14" s="100" t="str">
        <x:v>Hito elegido</x:v>
      </x:c>
      <x:c r="H14" s="100" t="str">
        <x:v>Horas recomendadas (equipo)</x:v>
      </x:c>
      <x:c r="I14" s="100" t="str">
        <x:v>Horas presupuestadas (equipo)</x:v>
      </x:c>
      <x:c r="J14" s="100" t="str">
        <x:v>Horas dedicadas (equipo)</x:v>
      </x:c>
      <x:c r="K14" s="100" t="str">
        <x:v>AT</x:v>
      </x:c>
      <x:c r="L14" s="100" t="str">
        <x:v>Responsable</x:v>
      </x:c>
      <x:c r="M14" s="100" t="str">
        <x:v>Sprint</x:v>
      </x:c>
      <x:c r="N14" s="100" t="str">
        <x:v>% realizado</x:v>
      </x:c>
      <x:c r="O14" s="100" t="str">
        <x:v>Estado</x:v>
      </x:c>
      <x:c r="P14" s="100" t="str">
        <x:v>AT validados</x:v>
      </x:c>
      <x:c r="Q14" s="100" t="str">
        <x:v>AT progreso</x:v>
      </x:c>
      <x:c r="R14" s="100" t="str">
        <x:v>Criterios de aceptación</x:v>
      </x:c>
      <x:c r="S14" s="100" t="str">
        <x:v>Evidencia esperada</x:v>
      </x:c>
      <x:c r="T14" s="100" t="str">
        <x:v>Dependencias</x:v>
      </x:c>
      <x:c r="U14" s="100" t="str">
        <x:v>Observaciones</x:v>
      </x:c>
    </x:row>
    <x:row r="15">
      <x:c r="A15" s="104" t="str">
        <x:v>PI.LEG.01</x:v>
      </x:c>
      <x:c r="B15" s="104" t="str">
        <x:v>Auditoría del legado</x:v>
      </x:c>
      <x:c r="C15" s="104" t="str">
        <x:v>Ejecutar AulaFlow 1.0.0 desde la release entregada y verificar arranque, health y flujo básico</x:v>
      </x:c>
      <x:c r="D15" s="104" t="str">
        <x:v>OBL</x:v>
      </x:c>
      <x:c r="E15" s="107" t="str">
        <x:v>Sí</x:v>
      </x:c>
      <x:c r="F15" s="104" t="str">
        <x:v>H0</x:v>
      </x:c>
      <x:c r="G15" s="107" t="str"/>
      <x:c r="H15" s="104" t="n">
        <x:v>2</x:v>
      </x:c>
      <x:c r="I15" s="107" t="n">
        <x:v>2</x:v>
      </x:c>
      <x:c r="J15" s="107"/>
      <x:c r="K15" s="104" t="n">
        <x:v>1</x:v>
      </x:c>
      <x:c r="L15" s="107"/>
      <x:c r="M15" s="107" t="str"/>
      <x:c r="N15" s="108" t="n">
        <x:v>0</x:v>
      </x:c>
      <x:c r="O15" s="107" t="str">
        <x:v>BACKLOG</x:v>
      </x:c>
      <x:c r="P15" s="109" t="n">
        <x:f>IF(AND(E15="Sí",O15="ACEPTADA"),K15,0)</x:f>
        <x:v>0</x:v>
      </x:c>
      <x:c r="Q15" s="109" t="n">
        <x:f>IF(E15="Sí",K15*N15,0)</x:f>
        <x:v>0</x:v>
      </x:c>
      <x:c r="R15" s="104" t="str">
        <x:v>La release arranca sin pasos ocultos; se verifican login y un tablero de ejemplo.</x:v>
      </x:c>
      <x:c r="S15" s="104" t="str">
        <x:v>Issue + checklist de ejecución + captura/log</x:v>
      </x:c>
      <x:c r="T15" s="104" t="str">
        <x:v>Release AulaFlow 1.0.0</x:v>
      </x:c>
      <x:c r="U15" s="107" t="str"/>
    </x:row>
    <x:row r="16">
      <x:c r="A16" s="104" t="str">
        <x:v>PI.LEG.02</x:v>
      </x:c>
      <x:c r="B16" s="104" t="str">
        <x:v>Auditoría del legado</x:v>
      </x:c>
      <x:c r="C16" s="104" t="str">
        <x:v>Inventariar capacidades y clasificar cada una como conservar / migrar / sustituir / descartar</x:v>
      </x:c>
      <x:c r="D16" s="104" t="str">
        <x:v>OBL</x:v>
      </x:c>
      <x:c r="E16" s="107" t="str">
        <x:v>Sí</x:v>
      </x:c>
      <x:c r="F16" s="104" t="str">
        <x:v>H0</x:v>
      </x:c>
      <x:c r="G16" s="107" t="str"/>
      <x:c r="H16" s="104" t="n">
        <x:v>3</x:v>
      </x:c>
      <x:c r="I16" s="107" t="n">
        <x:v>3</x:v>
      </x:c>
      <x:c r="J16" s="107"/>
      <x:c r="K16" s="104" t="n">
        <x:v>1</x:v>
      </x:c>
      <x:c r="L16" s="107"/>
      <x:c r="M16" s="107" t="str"/>
      <x:c r="N16" s="108" t="n">
        <x:v>0</x:v>
      </x:c>
      <x:c r="O16" s="107" t="str">
        <x:v>BACKLOG</x:v>
      </x:c>
      <x:c r="P16" s="109" t="n">
        <x:f>IF(AND(E16="Sí",O16="ACEPTADA"),K16,0)</x:f>
        <x:v>0</x:v>
      </x:c>
      <x:c r="Q16" s="109" t="n">
        <x:f>IF(E16="Sí",K16*N16,0)</x:f>
        <x:v>0</x:v>
      </x:c>
      <x:c r="R16" s="104" t="str">
        <x:v>Existe inventario trazable y cada decisión tiene una justificación breve.</x:v>
      </x:c>
      <x:c r="S16" s="104" t="str">
        <x:v>Documento de auditoría versionado</x:v>
      </x:c>
      <x:c r="T16" s="104" t="str">
        <x:v>PI.LEG.01</x:v>
      </x:c>
      <x:c r="U16" s="107" t="str"/>
    </x:row>
    <x:row r="17">
      <x:c r="A17" s="104" t="str">
        <x:v>PI.LEG.03</x:v>
      </x:c>
      <x:c r="B17" s="104" t="str">
        <x:v>Auditoría del legado</x:v>
      </x:c>
      <x:c r="C17" s="104" t="str">
        <x:v>Reconstruir arquitectura de alto nivel del sistema heredado</x:v>
      </x:c>
      <x:c r="D17" s="104" t="str">
        <x:v>OBL</x:v>
      </x:c>
      <x:c r="E17" s="107" t="str">
        <x:v>Sí</x:v>
      </x:c>
      <x:c r="F17" s="104" t="str">
        <x:v>H0</x:v>
      </x:c>
      <x:c r="G17" s="107" t="str"/>
      <x:c r="H17" s="104" t="n">
        <x:v>3</x:v>
      </x:c>
      <x:c r="I17" s="107" t="n">
        <x:v>3</x:v>
      </x:c>
      <x:c r="J17" s="107"/>
      <x:c r="K17" s="104" t="n">
        <x:v>1</x:v>
      </x:c>
      <x:c r="L17" s="107"/>
      <x:c r="M17" s="107" t="str"/>
      <x:c r="N17" s="108" t="n">
        <x:v>0</x:v>
      </x:c>
      <x:c r="O17" s="107" t="str">
        <x:v>BACKLOG</x:v>
      </x:c>
      <x:c r="P17" s="109" t="n">
        <x:f>IF(AND(E17="Sí",O17="ACEPTADA"),K17,0)</x:f>
        <x:v>0</x:v>
      </x:c>
      <x:c r="Q17" s="109" t="n">
        <x:f>IF(E17="Sí",K17*N17,0)</x:f>
        <x:v>0</x:v>
      </x:c>
      <x:c r="R17" s="104" t="str">
        <x:v>El diagrama identifica componentes, persistencia, HTTP, contenedor y dependencias relevantes.</x:v>
      </x:c>
      <x:c r="S17" s="104" t="str">
        <x:v>Diagrama + explicación en repo</x:v>
      </x:c>
      <x:c r="T17" s="104" t="str">
        <x:v>PI.LEG.01</x:v>
      </x:c>
      <x:c r="U17" s="107" t="str"/>
    </x:row>
    <x:row r="18">
      <x:c r="A18" s="104" t="str">
        <x:v>PI.LEG.04</x:v>
      </x:c>
      <x:c r="B18" s="104" t="str">
        <x:v>Auditoría del legado</x:v>
      </x:c>
      <x:c r="C18" s="104" t="str">
        <x:v>Registrar deuda técnica, riesgos y limitaciones observadas en AulaFlow 1.0</x:v>
      </x:c>
      <x:c r="D18" s="104" t="str">
        <x:v>OBL</x:v>
      </x:c>
      <x:c r="E18" s="107" t="str">
        <x:v>Sí</x:v>
      </x:c>
      <x:c r="F18" s="104" t="str">
        <x:v>H0</x:v>
      </x:c>
      <x:c r="G18" s="107" t="str"/>
      <x:c r="H18" s="104" t="n">
        <x:v>2</x:v>
      </x:c>
      <x:c r="I18" s="107" t="n">
        <x:v>2</x:v>
      </x:c>
      <x:c r="J18" s="107"/>
      <x:c r="K18" s="104" t="n">
        <x:v>1</x:v>
      </x:c>
      <x:c r="L18" s="107"/>
      <x:c r="M18" s="107" t="str"/>
      <x:c r="N18" s="108" t="n">
        <x:v>0</x:v>
      </x:c>
      <x:c r="O18" s="107" t="str">
        <x:v>BACKLOG</x:v>
      </x:c>
      <x:c r="P18" s="109" t="n">
        <x:f>IF(AND(E18="Sí",O18="ACEPTADA"),K18,0)</x:f>
        <x:v>0</x:v>
      </x:c>
      <x:c r="Q18" s="109" t="n">
        <x:f>IF(E18="Sí",K18*N18,0)</x:f>
        <x:v>0</x:v>
      </x:c>
      <x:c r="R18" s="104" t="str">
        <x:v>Cada riesgo tiene impacto, probabilidad cualitativa y acción inicial.</x:v>
      </x:c>
      <x:c r="S18" s="104" t="str">
        <x:v>Registro de riesgos/deuda</x:v>
      </x:c>
      <x:c r="T18" s="104" t="str">
        <x:v>PI.LEG.01</x:v>
      </x:c>
      <x:c r="U18" s="107" t="str"/>
    </x:row>
    <x:row r="19">
      <x:c r="A19" s="104" t="str">
        <x:v>PI.LEG.05</x:v>
      </x:c>
      <x:c r="B19" s="104" t="str">
        <x:v>Auditoría del legado</x:v>
      </x:c>
      <x:c r="C19" s="104" t="str">
        <x:v>Presentar la auditoría G0 y cerrar decisiones iniciales de evolución</x:v>
      </x:c>
      <x:c r="D19" s="104" t="str">
        <x:v>OBL</x:v>
      </x:c>
      <x:c r="E19" s="107" t="str">
        <x:v>Sí</x:v>
      </x:c>
      <x:c r="F19" s="104" t="str">
        <x:v>H0</x:v>
      </x:c>
      <x:c r="G19" s="107" t="str"/>
      <x:c r="H19" s="104" t="n">
        <x:v>2</x:v>
      </x:c>
      <x:c r="I19" s="107" t="n">
        <x:v>2</x:v>
      </x:c>
      <x:c r="J19" s="107"/>
      <x:c r="K19" s="104" t="n">
        <x:v>1</x:v>
      </x:c>
      <x:c r="L19" s="107"/>
      <x:c r="M19" s="107" t="str"/>
      <x:c r="N19" s="108" t="n">
        <x:v>0</x:v>
      </x:c>
      <x:c r="O19" s="107" t="str">
        <x:v>BACKLOG</x:v>
      </x:c>
      <x:c r="P19" s="109" t="n">
        <x:f>IF(AND(E19="Sí",O19="ACEPTADA"),K19,0)</x:f>
        <x:v>0</x:v>
      </x:c>
      <x:c r="Q19" s="109" t="n">
        <x:f>IF(E19="Sí",K19*N19,0)</x:f>
        <x:v>0</x:v>
      </x:c>
      <x:c r="R19" s="104" t="str">
        <x:v>El equipo puede explicar el legado y el docente acepta el cierre de G0.</x:v>
      </x:c>
      <x:c r="S19" s="104" t="str">
        <x:v>Demo/microdefensa + acta de aceptación</x:v>
      </x:c>
      <x:c r="T19" s="104" t="str">
        <x:v>PI.LEG.02; PI.LEG.03; PI.LEG.04</x:v>
      </x:c>
      <x:c r="U19" s="107" t="str"/>
    </x:row>
    <x:row r="20">
      <x:c r="A20" s="104" t="str">
        <x:v>PI.CON.01</x:v>
      </x:c>
      <x:c r="B20" s="104" t="str">
        <x:v>Contrato de alcance</x:v>
      </x:c>
      <x:c r="C20" s="104" t="str">
        <x:v>Seleccionar núcleo y ampliaciones y justificar el alcance contratado</x:v>
      </x:c>
      <x:c r="D20" s="104" t="str">
        <x:v>OBL</x:v>
      </x:c>
      <x:c r="E20" s="107" t="str">
        <x:v>Sí</x:v>
      </x:c>
      <x:c r="F20" s="104" t="str">
        <x:v>H1</x:v>
      </x:c>
      <x:c r="G20" s="107" t="str"/>
      <x:c r="H20" s="104" t="n">
        <x:v>3</x:v>
      </x:c>
      <x:c r="I20" s="107" t="n">
        <x:v>3</x:v>
      </x:c>
      <x:c r="J20" s="107"/>
      <x:c r="K20" s="104" t="n">
        <x:v>2</x:v>
      </x:c>
      <x:c r="L20" s="107"/>
      <x:c r="M20" s="107" t="str"/>
      <x:c r="N20" s="108" t="n">
        <x:v>0</x:v>
      </x:c>
      <x:c r="O20" s="107" t="str">
        <x:v>BACKLOG</x:v>
      </x:c>
      <x:c r="P20" s="109" t="n">
        <x:f>IF(AND(E20="Sí",O20="ACEPTADA"),K20,0)</x:f>
        <x:v>0</x:v>
      </x:c>
      <x:c r="Q20" s="109" t="n">
        <x:f>IF(E20="Sí",K20*N20,0)</x:f>
        <x:v>0</x:v>
      </x:c>
      <x:c r="R20" s="104" t="str">
        <x:v>El contrato incluye todo el núcleo y ampliaciones coherentes con capacidad/dependencias.</x:v>
      </x:c>
      <x:c r="S20" s="104" t="str">
        <x:v>Contrato baseline</x:v>
      </x:c>
      <x:c r="T20" s="104" t="str">
        <x:v>G0 cerrado</x:v>
      </x:c>
      <x:c r="U20" s="107" t="str"/>
    </x:row>
    <x:row r="21">
      <x:c r="A21" s="104" t="str">
        <x:v>PI.CON.02</x:v>
      </x:c>
      <x:c r="B21" s="104" t="str">
        <x:v>Contrato de alcance</x:v>
      </x:c>
      <x:c r="C21" s="104" t="str">
        <x:v>Asignar responsable principal y reparto de AulaTokens por tarea contratada</x:v>
      </x:c>
      <x:c r="D21" s="104" t="str">
        <x:v>OBL</x:v>
      </x:c>
      <x:c r="E21" s="107" t="str">
        <x:v>Sí</x:v>
      </x:c>
      <x:c r="F21" s="104" t="str">
        <x:v>H1</x:v>
      </x:c>
      <x:c r="G21" s="107" t="str"/>
      <x:c r="H21" s="104" t="n">
        <x:v>2</x:v>
      </x:c>
      <x:c r="I21" s="107" t="n">
        <x:v>2</x:v>
      </x:c>
      <x:c r="J21" s="107"/>
      <x:c r="K21" s="104" t="n">
        <x:v>1</x:v>
      </x:c>
      <x:c r="L21" s="107"/>
      <x:c r="M21" s="107" t="str"/>
      <x:c r="N21" s="108" t="n">
        <x:v>0</x:v>
      </x:c>
      <x:c r="O21" s="107" t="str">
        <x:v>BACKLOG</x:v>
      </x:c>
      <x:c r="P21" s="109" t="n">
        <x:f>IF(AND(E21="Sí",O21="ACEPTADA"),K21,0)</x:f>
        <x:v>0</x:v>
      </x:c>
      <x:c r="Q21" s="109" t="n">
        <x:f>IF(E21="Sí",K21*N21,0)</x:f>
        <x:v>0</x:v>
      </x:c>
      <x:c r="R21" s="104" t="str">
        <x:v>No se duplican AT; la suma personal coincide con el AT contratado.</x:v>
      </x:c>
      <x:c r="S21" s="104" t="str">
        <x:v>Matriz de reparto</x:v>
      </x:c>
      <x:c r="T21" s="104" t="str">
        <x:v>PI.CON.01</x:v>
      </x:c>
      <x:c r="U21" s="107" t="str"/>
    </x:row>
    <x:row r="22">
      <x:c r="A22" s="104" t="str">
        <x:v>PI.CON.03</x:v>
      </x:c>
      <x:c r="B22" s="104" t="str">
        <x:v>Contrato de alcance</x:v>
      </x:c>
      <x:c r="C22" s="104" t="str">
        <x:v>Registrar dependencias técnicas, fechas de disponibilidad y riesgos externos</x:v>
      </x:c>
      <x:c r="D22" s="104" t="str">
        <x:v>OBL</x:v>
      </x:c>
      <x:c r="E22" s="107" t="str">
        <x:v>Sí</x:v>
      </x:c>
      <x:c r="F22" s="104" t="str">
        <x:v>H1</x:v>
      </x:c>
      <x:c r="G22" s="107" t="str"/>
      <x:c r="H22" s="104" t="n">
        <x:v>2</x:v>
      </x:c>
      <x:c r="I22" s="107" t="n">
        <x:v>2</x:v>
      </x:c>
      <x:c r="J22" s="107"/>
      <x:c r="K22" s="104" t="n">
        <x:v>1</x:v>
      </x:c>
      <x:c r="L22" s="107"/>
      <x:c r="M22" s="107" t="str"/>
      <x:c r="N22" s="108" t="n">
        <x:v>0</x:v>
      </x:c>
      <x:c r="O22" s="107" t="str">
        <x:v>BACKLOG</x:v>
      </x:c>
      <x:c r="P22" s="109" t="n">
        <x:f>IF(AND(E22="Sí",O22="ACEPTADA"),K22,0)</x:f>
        <x:v>0</x:v>
      </x:c>
      <x:c r="Q22" s="109" t="n">
        <x:f>IF(E22="Sí",K22*N22,0)</x:f>
        <x:v>0</x:v>
      </x:c>
      <x:c r="R22" s="104" t="str">
        <x:v>Cada dependencia crítica tiene propietario, fecha/condición y plan alternativo.</x:v>
      </x:c>
      <x:c r="S22" s="104" t="str">
        <x:v>Matriz de dependencias</x:v>
      </x:c>
      <x:c r="T22" s="104" t="str">
        <x:v>PI.CON.01</x:v>
      </x:c>
      <x:c r="U22" s="107" t="str"/>
    </x:row>
    <x:row r="23">
      <x:c r="A23" s="104" t="str">
        <x:v>PI.CON.04</x:v>
      </x:c>
      <x:c r="B23" s="104" t="str">
        <x:v>Contrato de alcance</x:v>
      </x:c>
      <x:c r="C23" s="104" t="str">
        <x:v>Firmar y versionar el baseline contractual del equipo</x:v>
      </x:c>
      <x:c r="D23" s="104" t="str">
        <x:v>OBL</x:v>
      </x:c>
      <x:c r="E23" s="107" t="str">
        <x:v>Sí</x:v>
      </x:c>
      <x:c r="F23" s="104" t="str">
        <x:v>H1</x:v>
      </x:c>
      <x:c r="G23" s="107" t="str"/>
      <x:c r="H23" s="104" t="n">
        <x:v>1</x:v>
      </x:c>
      <x:c r="I23" s="107" t="n">
        <x:v>1</x:v>
      </x:c>
      <x:c r="J23" s="107"/>
      <x:c r="K23" s="104" t="n">
        <x:v>1</x:v>
      </x:c>
      <x:c r="L23" s="107"/>
      <x:c r="M23" s="107" t="str"/>
      <x:c r="N23" s="108" t="n">
        <x:v>0</x:v>
      </x:c>
      <x:c r="O23" s="107" t="str">
        <x:v>BACKLOG</x:v>
      </x:c>
      <x:c r="P23" s="109" t="n">
        <x:f>IF(AND(E23="Sí",O23="ACEPTADA"),K23,0)</x:f>
        <x:v>0</x:v>
      </x:c>
      <x:c r="Q23" s="109" t="n">
        <x:f>IF(E23="Sí",K23*N23,0)</x:f>
        <x:v>0</x:v>
      </x:c>
      <x:c r="R23" s="104" t="str">
        <x:v>Existe versión identificable del contrato aceptada por integrantes y docente.</x:v>
      </x:c>
      <x:c r="S23" s="104" t="str">
        <x:v>Contrato firmado/versionado</x:v>
      </x:c>
      <x:c r="T23" s="104" t="str">
        <x:v>PI.CON.01; PI.CON.02; PI.CON.03</x:v>
      </x:c>
      <x:c r="U23" s="107" t="str"/>
    </x:row>
    <x:row r="24">
      <x:c r="A24" s="104" t="str">
        <x:v>PI.PLAN.01</x:v>
      </x:c>
      <x:c r="B24" s="104" t="str">
        <x:v>Planificación</x:v>
      </x:c>
      <x:c r="C24" s="104" t="str">
        <x:v>Transformar el contrato en WBS/backlog de trabajo accionable</x:v>
      </x:c>
      <x:c r="D24" s="104" t="str">
        <x:v>OBL</x:v>
      </x:c>
      <x:c r="E24" s="107" t="str">
        <x:v>Sí</x:v>
      </x:c>
      <x:c r="F24" s="104" t="str">
        <x:v>H1</x:v>
      </x:c>
      <x:c r="G24" s="107" t="str"/>
      <x:c r="H24" s="104" t="n">
        <x:v>3</x:v>
      </x:c>
      <x:c r="I24" s="107" t="n">
        <x:v>3</x:v>
      </x:c>
      <x:c r="J24" s="107"/>
      <x:c r="K24" s="104" t="n">
        <x:v>1</x:v>
      </x:c>
      <x:c r="L24" s="107"/>
      <x:c r="M24" s="107" t="str"/>
      <x:c r="N24" s="108" t="n">
        <x:v>0</x:v>
      </x:c>
      <x:c r="O24" s="107" t="str">
        <x:v>BACKLOG</x:v>
      </x:c>
      <x:c r="P24" s="109" t="n">
        <x:f>IF(AND(E24="Sí",O24="ACEPTADA"),K24,0)</x:f>
        <x:v>0</x:v>
      </x:c>
      <x:c r="Q24" s="109" t="n">
        <x:f>IF(E24="Sí",K24*N24,0)</x:f>
        <x:v>0</x:v>
      </x:c>
      <x:c r="R24" s="104" t="str">
        <x:v>Todas las tareas contratadas aparecen en backlog con ID y dependencia.</x:v>
      </x:c>
      <x:c r="S24" s="104" t="str">
        <x:v>GitHub Project/backlog</x:v>
      </x:c>
      <x:c r="T24" s="104" t="str">
        <x:v>PI.CON.04</x:v>
      </x:c>
      <x:c r="U24" s="107" t="str"/>
    </x:row>
    <x:row r="25">
      <x:c r="A25" s="104" t="str">
        <x:v>PI.PLAN.02</x:v>
      </x:c>
      <x:c r="B25" s="104" t="str">
        <x:v>Planificación</x:v>
      </x:c>
      <x:c r="C25" s="104" t="str">
        <x:v>Estimar horas y capacidad disponible del equipo para las tareas contratadas</x:v>
      </x:c>
      <x:c r="D25" s="104" t="str">
        <x:v>OBL</x:v>
      </x:c>
      <x:c r="E25" s="107" t="str">
        <x:v>Sí</x:v>
      </x:c>
      <x:c r="F25" s="104" t="str">
        <x:v>H1</x:v>
      </x:c>
      <x:c r="G25" s="107" t="str"/>
      <x:c r="H25" s="104" t="n">
        <x:v>3</x:v>
      </x:c>
      <x:c r="I25" s="107" t="n">
        <x:v>3</x:v>
      </x:c>
      <x:c r="J25" s="107"/>
      <x:c r="K25" s="104" t="n">
        <x:v>1</x:v>
      </x:c>
      <x:c r="L25" s="107"/>
      <x:c r="M25" s="107" t="str"/>
      <x:c r="N25" s="108" t="n">
        <x:v>0</x:v>
      </x:c>
      <x:c r="O25" s="107" t="str">
        <x:v>BACKLOG</x:v>
      </x:c>
      <x:c r="P25" s="109" t="n">
        <x:f>IF(AND(E25="Sí",O25="ACEPTADA"),K25,0)</x:f>
        <x:v>0</x:v>
      </x:c>
      <x:c r="Q25" s="109" t="n">
        <x:f>IF(E25="Sí",K25*N25,0)</x:f>
        <x:v>0</x:v>
      </x:c>
      <x:c r="R25" s="104" t="str">
        <x:v>Existe estimación por tarea y capacidad por sprint; se documentan supuestos.</x:v>
      </x:c>
      <x:c r="S25" s="104" t="str">
        <x:v>Presupuesto de horas</x:v>
      </x:c>
      <x:c r="T25" s="104" t="str">
        <x:v>PI.PLAN.01</x:v>
      </x:c>
      <x:c r="U25" s="107" t="str"/>
    </x:row>
    <x:row r="26">
      <x:c r="A26" s="104" t="str">
        <x:v>PI.PLAN.03</x:v>
      </x:c>
      <x:c r="B26" s="104" t="str">
        <x:v>Planificación</x:v>
      </x:c>
      <x:c r="C26" s="104" t="str">
        <x:v>Definir roadmap e hitos H1-H5 con resultados verificables</x:v>
      </x:c>
      <x:c r="D26" s="104" t="str">
        <x:v>OBL</x:v>
      </x:c>
      <x:c r="E26" s="107" t="str">
        <x:v>Sí</x:v>
      </x:c>
      <x:c r="F26" s="104" t="str">
        <x:v>H1</x:v>
      </x:c>
      <x:c r="G26" s="107" t="str"/>
      <x:c r="H26" s="104" t="n">
        <x:v>2</x:v>
      </x:c>
      <x:c r="I26" s="107" t="n">
        <x:v>2</x:v>
      </x:c>
      <x:c r="J26" s="107"/>
      <x:c r="K26" s="104" t="n">
        <x:v>1</x:v>
      </x:c>
      <x:c r="L26" s="107"/>
      <x:c r="M26" s="107" t="str"/>
      <x:c r="N26" s="108" t="n">
        <x:v>0</x:v>
      </x:c>
      <x:c r="O26" s="107" t="str">
        <x:v>BACKLOG</x:v>
      </x:c>
      <x:c r="P26" s="109" t="n">
        <x:f>IF(AND(E26="Sí",O26="ACEPTADA"),K26,0)</x:f>
        <x:v>0</x:v>
      </x:c>
      <x:c r="Q26" s="109" t="n">
        <x:f>IF(E26="Sí",K26*N26,0)</x:f>
        <x:v>0</x:v>
      </x:c>
      <x:c r="R26" s="104" t="str">
        <x:v>Cada hito tiene objetivo, tareas candidatas y evidencia de aceptación.</x:v>
      </x:c>
      <x:c r="S26" s="104" t="str">
        <x:v>Roadmap/milestones</x:v>
      </x:c>
      <x:c r="T26" s="104" t="str">
        <x:v>PI.PLAN.01</x:v>
      </x:c>
      <x:c r="U26" s="107" t="str"/>
    </x:row>
    <x:row r="27">
      <x:c r="A27" s="104" t="str">
        <x:v>PI.PLAN.04</x:v>
      </x:c>
      <x:c r="B27" s="104" t="str">
        <x:v>Planificación</x:v>
      </x:c>
      <x:c r="C27" s="104" t="str">
        <x:v>Configurar GitHub Project con estados, responsables, sprint, AT, horas y hito</x:v>
      </x:c>
      <x:c r="D27" s="104" t="str">
        <x:v>OBL</x:v>
      </x:c>
      <x:c r="E27" s="107" t="str">
        <x:v>Sí</x:v>
      </x:c>
      <x:c r="F27" s="104" t="str">
        <x:v>H1</x:v>
      </x:c>
      <x:c r="G27" s="107" t="str"/>
      <x:c r="H27" s="104" t="n">
        <x:v>2</x:v>
      </x:c>
      <x:c r="I27" s="107" t="n">
        <x:v>2</x:v>
      </x:c>
      <x:c r="J27" s="107"/>
      <x:c r="K27" s="104" t="n">
        <x:v>1</x:v>
      </x:c>
      <x:c r="L27" s="107"/>
      <x:c r="M27" s="107" t="str"/>
      <x:c r="N27" s="108" t="n">
        <x:v>0</x:v>
      </x:c>
      <x:c r="O27" s="107" t="str">
        <x:v>BACKLOG</x:v>
      </x:c>
      <x:c r="P27" s="109" t="n">
        <x:f>IF(AND(E27="Sí",O27="ACEPTADA"),K27,0)</x:f>
        <x:v>0</x:v>
      </x:c>
      <x:c r="Q27" s="109" t="n">
        <x:f>IF(E27="Sí",K27*N27,0)</x:f>
        <x:v>0</x:v>
      </x:c>
      <x:c r="R27" s="104" t="str">
        <x:v>Los campos permiten gestionar contrato y seguimiento sin una hoja paralela incompatible.</x:v>
      </x:c>
      <x:c r="S27" s="104" t="str">
        <x:v>GitHub Project configurado</x:v>
      </x:c>
      <x:c r="T27" s="104" t="str">
        <x:v>PI.PLAN.01</x:v>
      </x:c>
      <x:c r="U27" s="107" t="str"/>
    </x:row>
    <x:row r="28">
      <x:c r="A28" s="104" t="str">
        <x:v>PI.PLAN.05</x:v>
      </x:c>
      <x:c r="B28" s="104" t="str">
        <x:v>Planificación</x:v>
      </x:c>
      <x:c r="C28" s="104" t="str">
        <x:v>Planificar Sprint 1 con objetivo, tareas, capacidad y Definition of Done</x:v>
      </x:c>
      <x:c r="D28" s="104" t="str">
        <x:v>OBL</x:v>
      </x:c>
      <x:c r="E28" s="107" t="str">
        <x:v>Sí</x:v>
      </x:c>
      <x:c r="F28" s="104" t="str">
        <x:v>H1</x:v>
      </x:c>
      <x:c r="G28" s="107" t="str"/>
      <x:c r="H28" s="104" t="n">
        <x:v>2</x:v>
      </x:c>
      <x:c r="I28" s="107" t="n">
        <x:v>2</x:v>
      </x:c>
      <x:c r="J28" s="107"/>
      <x:c r="K28" s="104" t="n">
        <x:v>1</x:v>
      </x:c>
      <x:c r="L28" s="107"/>
      <x:c r="M28" s="107" t="str"/>
      <x:c r="N28" s="108" t="n">
        <x:v>0</x:v>
      </x:c>
      <x:c r="O28" s="107" t="str">
        <x:v>BACKLOG</x:v>
      </x:c>
      <x:c r="P28" s="109" t="n">
        <x:f>IF(AND(E28="Sí",O28="ACEPTADA"),K28,0)</x:f>
        <x:v>0</x:v>
      </x:c>
      <x:c r="Q28" s="109" t="n">
        <x:f>IF(E28="Sí",K28*N28,0)</x:f>
        <x:v>0</x:v>
      </x:c>
      <x:c r="R28" s="104" t="str">
        <x:v>El sprint no excede capacidad y cada tarea tiene DoD/aceptación conocida.</x:v>
      </x:c>
      <x:c r="S28" s="104" t="str">
        <x:v>Sprint plan</x:v>
      </x:c>
      <x:c r="T28" s="104" t="str">
        <x:v>PI.PLAN.02; PI.PLAN.04</x:v>
      </x:c>
      <x:c r="U28" s="107" t="str"/>
    </x:row>
    <x:row r="29">
      <x:c r="A29" s="104" t="str">
        <x:v>PI.FLOW.01</x:v>
      </x:c>
      <x:c r="B29" s="104" t="str">
        <x:v>Flujo profesional</x:v>
      </x:c>
      <x:c r="C29" s="104" t="str">
        <x:v>Definir convenciones de ramas, commits, issues, PR y revisión</x:v>
      </x:c>
      <x:c r="D29" s="104" t="str">
        <x:v>OBL</x:v>
      </x:c>
      <x:c r="E29" s="107" t="str">
        <x:v>Sí</x:v>
      </x:c>
      <x:c r="F29" s="104" t="str">
        <x:v>H1</x:v>
      </x:c>
      <x:c r="G29" s="107" t="str"/>
      <x:c r="H29" s="104" t="n">
        <x:v>2</x:v>
      </x:c>
      <x:c r="I29" s="107" t="n">
        <x:v>2</x:v>
      </x:c>
      <x:c r="J29" s="107"/>
      <x:c r="K29" s="104" t="n">
        <x:v>1</x:v>
      </x:c>
      <x:c r="L29" s="107"/>
      <x:c r="M29" s="107" t="str"/>
      <x:c r="N29" s="108" t="n">
        <x:v>0</x:v>
      </x:c>
      <x:c r="O29" s="107" t="str">
        <x:v>BACKLOG</x:v>
      </x:c>
      <x:c r="P29" s="109" t="n">
        <x:f>IF(AND(E29="Sí",O29="ACEPTADA"),K29,0)</x:f>
        <x:v>0</x:v>
      </x:c>
      <x:c r="Q29" s="109" t="n">
        <x:f>IF(E29="Sí",K29*N29,0)</x:f>
        <x:v>0</x:v>
      </x:c>
      <x:c r="R29" s="104" t="str">
        <x:v>Las reglas están versionadas y pueden seguirse de forma consistente.</x:v>
      </x:c>
      <x:c r="S29" s="104" t="str">
        <x:v>Guía de contribución</x:v>
      </x:c>
      <x:c r="T29" s="104" t="str">
        <x:v>G1</x:v>
      </x:c>
      <x:c r="U29" s="107" t="str"/>
    </x:row>
    <x:row r="30">
      <x:c r="A30" s="104" t="str">
        <x:v>PI.FLOW.02</x:v>
      </x:c>
      <x:c r="B30" s="104" t="str">
        <x:v>Flujo profesional</x:v>
      </x:c>
      <x:c r="C30" s="104" t="str">
        <x:v>Completar un flujo real issue → rama → commits → PR → review → merge</x:v>
      </x:c>
      <x:c r="D30" s="104" t="str">
        <x:v>OBL</x:v>
      </x:c>
      <x:c r="E30" s="107" t="str">
        <x:v>Sí</x:v>
      </x:c>
      <x:c r="F30" s="104" t="str">
        <x:v>H2</x:v>
      </x:c>
      <x:c r="G30" s="107" t="str"/>
      <x:c r="H30" s="104" t="n">
        <x:v>3</x:v>
      </x:c>
      <x:c r="I30" s="107" t="n">
        <x:v>3</x:v>
      </x:c>
      <x:c r="J30" s="107"/>
      <x:c r="K30" s="104" t="n">
        <x:v>1</x:v>
      </x:c>
      <x:c r="L30" s="107"/>
      <x:c r="M30" s="107" t="str"/>
      <x:c r="N30" s="108" t="n">
        <x:v>0</x:v>
      </x:c>
      <x:c r="O30" s="107" t="str">
        <x:v>BACKLOG</x:v>
      </x:c>
      <x:c r="P30" s="109" t="n">
        <x:f>IF(AND(E30="Sí",O30="ACEPTADA"),K30,0)</x:f>
        <x:v>0</x:v>
      </x:c>
      <x:c r="Q30" s="109" t="n">
        <x:f>IF(E30="Sí",K30*N30,0)</x:f>
        <x:v>0</x:v>
      </x:c>
      <x:c r="R30" s="104" t="str">
        <x:v>La trazabilidad es completa y el PR referencia la tarea contractual.</x:v>
      </x:c>
      <x:c r="S30" s="104" t="str">
        <x:v>Issue + PR + review</x:v>
      </x:c>
      <x:c r="T30" s="104" t="str">
        <x:v>PI.FLOW.01</x:v>
      </x:c>
      <x:c r="U30" s="107" t="str">
        <x:v>Puede reutilizar como evidencia una tarea técnica real, pero los AT de PI II validan el proceso issue→PR→review→merge, no la implementación técnica ya puntuada.</x:v>
      </x:c>
    </x:row>
    <x:row r="31">
      <x:c r="A31" s="104" t="str">
        <x:v>PI.FLOW.03</x:v>
      </x:c>
      <x:c r="B31" s="104" t="str">
        <x:v>Flujo profesional</x:v>
      </x:c>
      <x:c r="C31" s="104" t="str">
        <x:v>Registrar una decisión técnica relevante mediante ADR</x:v>
      </x:c>
      <x:c r="D31" s="104" t="str">
        <x:v>OBL</x:v>
      </x:c>
      <x:c r="E31" s="107" t="str">
        <x:v>Sí</x:v>
      </x:c>
      <x:c r="F31" s="104" t="str">
        <x:v>H2</x:v>
      </x:c>
      <x:c r="G31" s="107" t="str"/>
      <x:c r="H31" s="104" t="n">
        <x:v>2</x:v>
      </x:c>
      <x:c r="I31" s="107" t="n">
        <x:v>2</x:v>
      </x:c>
      <x:c r="J31" s="107"/>
      <x:c r="K31" s="104" t="n">
        <x:v>1</x:v>
      </x:c>
      <x:c r="L31" s="107"/>
      <x:c r="M31" s="107" t="str"/>
      <x:c r="N31" s="108" t="n">
        <x:v>0</x:v>
      </x:c>
      <x:c r="O31" s="107" t="str">
        <x:v>BACKLOG</x:v>
      </x:c>
      <x:c r="P31" s="109" t="n">
        <x:f>IF(AND(E31="Sí",O31="ACEPTADA"),K31,0)</x:f>
        <x:v>0</x:v>
      </x:c>
      <x:c r="Q31" s="109" t="n">
        <x:f>IF(E31="Sí",K31*N31,0)</x:f>
        <x:v>0</x:v>
      </x:c>
      <x:c r="R31" s="104" t="str">
        <x:v>El ADR recoge contexto, opciones, decisión y consecuencias.</x:v>
      </x:c>
      <x:c r="S31" s="104" t="str">
        <x:v>ADR versionado</x:v>
      </x:c>
      <x:c r="T31" s="104" t="str">
        <x:v>Decisión real del proyecto</x:v>
      </x:c>
      <x:c r="U31" s="107" t="str">
        <x:v>El ADR puede referirse a una decisión de AD/PMDM/DI; los AT de PI II validan trazabilidad de la decisión, no vuelven a puntuar el código.</x:v>
      </x:c>
    </x:row>
    <x:row r="32">
      <x:c r="A32" s="104" t="str">
        <x:v>PI.FLOW.04</x:v>
      </x:c>
      <x:c r="B32" s="104" t="str">
        <x:v>Flujo profesional</x:v>
      </x:c>
      <x:c r="C32" s="104" t="str">
        <x:v>Realizar checkpoint de hito con demo, evidencias y aceptación</x:v>
      </x:c>
      <x:c r="D32" s="104" t="str">
        <x:v>OBL</x:v>
      </x:c>
      <x:c r="E32" s="107" t="str">
        <x:v>Sí</x:v>
      </x:c>
      <x:c r="F32" s="104" t="str">
        <x:v>H2</x:v>
      </x:c>
      <x:c r="G32" s="107" t="str"/>
      <x:c r="H32" s="104" t="n">
        <x:v>2</x:v>
      </x:c>
      <x:c r="I32" s="107" t="n">
        <x:v>2</x:v>
      </x:c>
      <x:c r="J32" s="107"/>
      <x:c r="K32" s="104" t="n">
        <x:v>1</x:v>
      </x:c>
      <x:c r="L32" s="107"/>
      <x:c r="M32" s="107" t="str"/>
      <x:c r="N32" s="108" t="n">
        <x:v>0</x:v>
      </x:c>
      <x:c r="O32" s="107" t="str">
        <x:v>BACKLOG</x:v>
      </x:c>
      <x:c r="P32" s="109" t="n">
        <x:f>IF(AND(E32="Sí",O32="ACEPTADA"),K32,0)</x:f>
        <x:v>0</x:v>
      </x:c>
      <x:c r="Q32" s="109" t="n">
        <x:f>IF(E32="Sí",K32*N32,0)</x:f>
        <x:v>0</x:v>
      </x:c>
      <x:c r="R32" s="104" t="str">
        <x:v>Se demuestra producto ejecutable y se registran tareas aceptadas/cambios solicitados.</x:v>
      </x:c>
      <x:c r="S32" s="104" t="str">
        <x:v>Acta + demo + enlaces</x:v>
      </x:c>
      <x:c r="T32" s="104" t="str">
        <x:v>Hito con tareas entregables</x:v>
      </x:c>
      <x:c r="U32" s="107" t="str"/>
    </x:row>
    <x:row r="33">
      <x:c r="A33" s="104" t="str">
        <x:v>PI.RISK.01</x:v>
      </x:c>
      <x:c r="B33" s="104" t="str">
        <x:v>Riesgos y seguimiento</x:v>
      </x:c>
      <x:c r="C33" s="104" t="str">
        <x:v>Mantener registro de riesgos vivo y revisar mitigaciones en cada hito</x:v>
      </x:c>
      <x:c r="D33" s="104" t="str">
        <x:v>OBL</x:v>
      </x:c>
      <x:c r="E33" s="107" t="str">
        <x:v>Sí</x:v>
      </x:c>
      <x:c r="F33" s="104" t="str">
        <x:v>H2</x:v>
      </x:c>
      <x:c r="G33" s="107" t="str"/>
      <x:c r="H33" s="104" t="n">
        <x:v>2</x:v>
      </x:c>
      <x:c r="I33" s="107" t="n">
        <x:v>2</x:v>
      </x:c>
      <x:c r="J33" s="107"/>
      <x:c r="K33" s="104" t="n">
        <x:v>1</x:v>
      </x:c>
      <x:c r="L33" s="107"/>
      <x:c r="M33" s="107" t="str"/>
      <x:c r="N33" s="108" t="n">
        <x:v>0</x:v>
      </x:c>
      <x:c r="O33" s="107" t="str">
        <x:v>BACKLOG</x:v>
      </x:c>
      <x:c r="P33" s="109" t="n">
        <x:f>IF(AND(E33="Sí",O33="ACEPTADA"),K33,0)</x:f>
        <x:v>0</x:v>
      </x:c>
      <x:c r="Q33" s="109" t="n">
        <x:f>IF(E33="Sí",K33*N33,0)</x:f>
        <x:v>0</x:v>
      </x:c>
      <x:c r="R33" s="104" t="str">
        <x:v>Riesgos nuevos/cerrados quedan fechados y con respuesta asignada.</x:v>
      </x:c>
      <x:c r="S33" s="104" t="str">
        <x:v>Risk register</x:v>
      </x:c>
      <x:c r="T33" s="104" t="str">
        <x:v>PI.LEG.04</x:v>
      </x:c>
      <x:c r="U33" s="107" t="str"/>
    </x:row>
    <x:row r="34">
      <x:c r="A34" s="104" t="str">
        <x:v>PI.RISK.02</x:v>
      </x:c>
      <x:c r="B34" s="104" t="str">
        <x:v>Riesgos y seguimiento</x:v>
      </x:c>
      <x:c r="C34" s="104" t="str">
        <x:v>Gestionar al menos un cambio mediante Change Request y rebaseline</x:v>
      </x:c>
      <x:c r="D34" s="104" t="str">
        <x:v>OBL</x:v>
      </x:c>
      <x:c r="E34" s="107" t="str">
        <x:v>Sí</x:v>
      </x:c>
      <x:c r="F34" s="104" t="str">
        <x:v>H3</x:v>
      </x:c>
      <x:c r="G34" s="107" t="str"/>
      <x:c r="H34" s="104" t="n">
        <x:v>2</x:v>
      </x:c>
      <x:c r="I34" s="107" t="n">
        <x:v>2</x:v>
      </x:c>
      <x:c r="J34" s="107"/>
      <x:c r="K34" s="104" t="n">
        <x:v>1</x:v>
      </x:c>
      <x:c r="L34" s="107"/>
      <x:c r="M34" s="107" t="str"/>
      <x:c r="N34" s="108" t="n">
        <x:v>0</x:v>
      </x:c>
      <x:c r="O34" s="107" t="str">
        <x:v>BACKLOG</x:v>
      </x:c>
      <x:c r="P34" s="109" t="n">
        <x:f>IF(AND(E34="Sí",O34="ACEPTADA"),K34,0)</x:f>
        <x:v>0</x:v>
      </x:c>
      <x:c r="Q34" s="109" t="n">
        <x:f>IF(E34="Sí",K34*N34,0)</x:f>
        <x:v>0</x:v>
      </x:c>
      <x:c r="R34" s="104" t="str">
        <x:v>El cambio registra motivo, impacto, AT, responsables y nueva baseline.</x:v>
      </x:c>
      <x:c r="S34" s="104" t="str">
        <x:v>CR versionada</x:v>
      </x:c>
      <x:c r="T34" s="104" t="str">
        <x:v>Contrato baseline</x:v>
      </x:c>
      <x:c r="U34" s="107" t="str"/>
    </x:row>
    <x:row r="35">
      <x:c r="A35" s="104" t="str">
        <x:v>PI.RISK.03</x:v>
      </x:c>
      <x:c r="B35" s="104" t="str">
        <x:v>Riesgos y seguimiento</x:v>
      </x:c>
      <x:c r="C35" s="104" t="str">
        <x:v>Comparar horas presupuestadas y dedicadas y analizar desviaciones</x:v>
      </x:c>
      <x:c r="D35" s="104" t="str">
        <x:v>OBL</x:v>
      </x:c>
      <x:c r="E35" s="107" t="str">
        <x:v>Sí</x:v>
      </x:c>
      <x:c r="F35" s="104" t="str">
        <x:v>H3</x:v>
      </x:c>
      <x:c r="G35" s="107" t="str"/>
      <x:c r="H35" s="104" t="n">
        <x:v>2</x:v>
      </x:c>
      <x:c r="I35" s="107" t="n">
        <x:v>2</x:v>
      </x:c>
      <x:c r="J35" s="107"/>
      <x:c r="K35" s="104" t="n">
        <x:v>1</x:v>
      </x:c>
      <x:c r="L35" s="107"/>
      <x:c r="M35" s="107" t="str"/>
      <x:c r="N35" s="108" t="n">
        <x:v>0</x:v>
      </x:c>
      <x:c r="O35" s="107" t="str">
        <x:v>BACKLOG</x:v>
      </x:c>
      <x:c r="P35" s="109" t="n">
        <x:f>IF(AND(E35="Sí",O35="ACEPTADA"),K35,0)</x:f>
        <x:v>0</x:v>
      </x:c>
      <x:c r="Q35" s="109" t="n">
        <x:f>IF(E35="Sí",K35*N35,0)</x:f>
        <x:v>0</x:v>
      </x:c>
      <x:c r="R35" s="104" t="str">
        <x:v>Se calcula desviación y se toma al menos una acción de mejora o reestimación.</x:v>
      </x:c>
      <x:c r="S35" s="104" t="str">
        <x:v>Informe estimado vs real</x:v>
      </x:c>
      <x:c r="T35" s="104" t="str">
        <x:v>Registro de horas</x:v>
      </x:c>
      <x:c r="U35" s="107" t="str"/>
    </x:row>
    <x:row r="36">
      <x:c r="A36" s="104" t="str">
        <x:v>PI.CLOSE.01</x:v>
      </x:c>
      <x:c r="B36" s="104" t="str">
        <x:v>Entrega y release</x:v>
      </x:c>
      <x:c r="C36" s="104" t="str">
        <x:v>Preparar changelog y notas de release asociadas a una versión identificable</x:v>
      </x:c>
      <x:c r="D36" s="104" t="str">
        <x:v>OBL</x:v>
      </x:c>
      <x:c r="E36" s="107" t="str">
        <x:v>Sí</x:v>
      </x:c>
      <x:c r="F36" s="104" t="str">
        <x:v>H5</x:v>
      </x:c>
      <x:c r="G36" s="107" t="str"/>
      <x:c r="H36" s="104" t="n">
        <x:v>2</x:v>
      </x:c>
      <x:c r="I36" s="107" t="n">
        <x:v>2</x:v>
      </x:c>
      <x:c r="J36" s="107"/>
      <x:c r="K36" s="104" t="n">
        <x:v>1</x:v>
      </x:c>
      <x:c r="L36" s="107"/>
      <x:c r="M36" s="107" t="str"/>
      <x:c r="N36" s="108" t="n">
        <x:v>0</x:v>
      </x:c>
      <x:c r="O36" s="107" t="str">
        <x:v>BACKLOG</x:v>
      </x:c>
      <x:c r="P36" s="109" t="n">
        <x:f>IF(AND(E36="Sí",O36="ACEPTADA"),K36,0)</x:f>
        <x:v>0</x:v>
      </x:c>
      <x:c r="Q36" s="109" t="n">
        <x:f>IF(E36="Sí",K36*N36,0)</x:f>
        <x:v>0</x:v>
      </x:c>
      <x:c r="R36" s="104" t="str">
        <x:v>La release se vincula a commit/tag y resume cambios/migraciones relevantes.</x:v>
      </x:c>
      <x:c r="S36" s="104" t="str">
        <x:v>Tag/release + changelog</x:v>
      </x:c>
      <x:c r="T36" s="104" t="str">
        <x:v>Producto integrado</x:v>
      </x:c>
      <x:c r="U36" s="107" t="str"/>
    </x:row>
    <x:row r="37">
      <x:c r="A37" s="104" t="str">
        <x:v>PI.CLOSE.02</x:v>
      </x:c>
      <x:c r="B37" s="104" t="str">
        <x:v>Entrega y release</x:v>
      </x:c>
      <x:c r="C37" s="104" t="str">
        <x:v>Preparar demo integrada y runbook mínimo de puesta en marcha</x:v>
      </x:c>
      <x:c r="D37" s="104" t="str">
        <x:v>OBL</x:v>
      </x:c>
      <x:c r="E37" s="107" t="str">
        <x:v>Sí</x:v>
      </x:c>
      <x:c r="F37" s="104" t="str">
        <x:v>H5</x:v>
      </x:c>
      <x:c r="G37" s="107" t="str"/>
      <x:c r="H37" s="104" t="n">
        <x:v>3</x:v>
      </x:c>
      <x:c r="I37" s="107" t="n">
        <x:v>3</x:v>
      </x:c>
      <x:c r="J37" s="107"/>
      <x:c r="K37" s="104" t="n">
        <x:v>1</x:v>
      </x:c>
      <x:c r="L37" s="107"/>
      <x:c r="M37" s="107" t="str"/>
      <x:c r="N37" s="108" t="n">
        <x:v>0</x:v>
      </x:c>
      <x:c r="O37" s="107" t="str">
        <x:v>BACKLOG</x:v>
      </x:c>
      <x:c r="P37" s="109" t="n">
        <x:f>IF(AND(E37="Sí",O37="ACEPTADA"),K37,0)</x:f>
        <x:v>0</x:v>
      </x:c>
      <x:c r="Q37" s="109" t="n">
        <x:f>IF(E37="Sí",K37*N37,0)</x:f>
        <x:v>0</x:v>
      </x:c>
      <x:c r="R37" s="104" t="str">
        <x:v>Una tercera persona puede arrancar la demo siguiendo el runbook.</x:v>
      </x:c>
      <x:c r="S37" s="104" t="str">
        <x:v>Runbook + demo</x:v>
      </x:c>
      <x:c r="T37" s="104" t="str">
        <x:v>Release candidata</x:v>
      </x:c>
      <x:c r="U37" s="107" t="str"/>
    </x:row>
    <x:row r="38">
      <x:c r="A38" s="104" t="str">
        <x:v>PI.CLOSE.03</x:v>
      </x:c>
      <x:c r="B38" s="104" t="str">
        <x:v>Entrega y release</x:v>
      </x:c>
      <x:c r="C38" s="104" t="str">
        <x:v>Realizar defensa individual y retrospectiva final del proyecto</x:v>
      </x:c>
      <x:c r="D38" s="104" t="str">
        <x:v>OBL</x:v>
      </x:c>
      <x:c r="E38" s="107" t="str">
        <x:v>Sí</x:v>
      </x:c>
      <x:c r="F38" s="104" t="str">
        <x:v>H5</x:v>
      </x:c>
      <x:c r="G38" s="107" t="str"/>
      <x:c r="H38" s="104" t="n">
        <x:v>3</x:v>
      </x:c>
      <x:c r="I38" s="107" t="n">
        <x:v>3</x:v>
      </x:c>
      <x:c r="J38" s="107"/>
      <x:c r="K38" s="104" t="n">
        <x:v>1</x:v>
      </x:c>
      <x:c r="L38" s="107"/>
      <x:c r="M38" s="107" t="str"/>
      <x:c r="N38" s="108" t="n">
        <x:v>0</x:v>
      </x:c>
      <x:c r="O38" s="107" t="str">
        <x:v>BACKLOG</x:v>
      </x:c>
      <x:c r="P38" s="109" t="n">
        <x:f>IF(AND(E38="Sí",O38="ACEPTADA"),K38,0)</x:f>
        <x:v>0</x:v>
      </x:c>
      <x:c r="Q38" s="109" t="n">
        <x:f>IF(E38="Sí",K38*N38,0)</x:f>
        <x:v>0</x:v>
      </x:c>
      <x:c r="R38" s="104" t="str">
        <x:v>Cada integrante explica decisiones, evidencia propia y aprendizajes/desviaciones.</x:v>
      </x:c>
      <x:c r="S38" s="104" t="str">
        <x:v>Defensa + retrospectiva</x:v>
      </x:c>
      <x:c r="T38" s="104" t="str">
        <x:v>G6/G7</x:v>
      </x:c>
      <x:c r="U38" s="107" t="str"/>
    </x:row>
    <x:row r="39">
      <x:c r="A39" s="104" t="str">
        <x:v>PI.ARCH.01</x:v>
      </x:c>
      <x:c r="B39" s="104" t="str">
        <x:v>Arquitectura y decisiones</x:v>
      </x:c>
      <x:c r="C39" s="104" t="str">
        <x:v>Crear C4 de contexto, contenedores y componentes para AulaFlow 2.0</x:v>
      </x:c>
      <x:c r="D39" s="104" t="str">
        <x:v>ADV</x:v>
      </x:c>
      <x:c r="E39" s="107" t="str">
        <x:v>No</x:v>
      </x:c>
      <x:c r="F39" s="104" t="str">
        <x:v>H2</x:v>
      </x:c>
      <x:c r="G39" s="107" t="str"/>
      <x:c r="H39" s="104" t="n">
        <x:v>5</x:v>
      </x:c>
      <x:c r="I39" s="107" t="n">
        <x:v>5</x:v>
      </x:c>
      <x:c r="J39" s="107"/>
      <x:c r="K39" s="104" t="n">
        <x:v>3</x:v>
      </x:c>
      <x:c r="L39" s="107"/>
      <x:c r="M39" s="107" t="str"/>
      <x:c r="N39" s="108" t="n">
        <x:v>0</x:v>
      </x:c>
      <x:c r="O39" s="107" t="str">
        <x:v>NO CONTRATADA</x:v>
      </x:c>
      <x:c r="P39" s="109" t="n">
        <x:f>IF(AND(E39="Sí",O39="ACEPTADA"),K39,0)</x:f>
        <x:v>0</x:v>
      </x:c>
      <x:c r="Q39" s="109" t="n">
        <x:f>IF(E39="Sí",K39*N39,0)</x:f>
        <x:v>0</x:v>
      </x:c>
      <x:c r="R39" s="104" t="str">
        <x:v>Los diagramas son coherentes con el sistema real y enlazan decisiones.</x:v>
      </x:c>
      <x:c r="S39" s="104" t="str">
        <x:v>C4 + revisión</x:v>
      </x:c>
      <x:c r="T39" s="104" t="str">
        <x:v>Arquitectura estabilizada</x:v>
      </x:c>
      <x:c r="U39" s="107" t="str"/>
    </x:row>
    <x:row r="40">
      <x:c r="A40" s="104" t="str">
        <x:v>PI.ARCH.02</x:v>
      </x:c>
      <x:c r="B40" s="104" t="str">
        <x:v>Arquitectura y decisiones</x:v>
      </x:c>
      <x:c r="C40" s="104" t="str">
        <x:v>Mantener paquete de ADR para decisiones críticas de arquitectura</x:v>
      </x:c>
      <x:c r="D40" s="104" t="str">
        <x:v>OPT</x:v>
      </x:c>
      <x:c r="E40" s="107" t="str">
        <x:v>No</x:v>
      </x:c>
      <x:c r="F40" s="104" t="str">
        <x:v>H3</x:v>
      </x:c>
      <x:c r="G40" s="107" t="str"/>
      <x:c r="H40" s="104" t="n">
        <x:v>4</x:v>
      </x:c>
      <x:c r="I40" s="107" t="n">
        <x:v>4</x:v>
      </x:c>
      <x:c r="J40" s="107"/>
      <x:c r="K40" s="104" t="n">
        <x:v>3</x:v>
      </x:c>
      <x:c r="L40" s="107"/>
      <x:c r="M40" s="107" t="str"/>
      <x:c r="N40" s="108" t="n">
        <x:v>0</x:v>
      </x:c>
      <x:c r="O40" s="107" t="str">
        <x:v>NO CONTRATADA</x:v>
      </x:c>
      <x:c r="P40" s="109" t="n">
        <x:f>IF(AND(E40="Sí",O40="ACEPTADA"),K40,0)</x:f>
        <x:v>0</x:v>
      </x:c>
      <x:c r="Q40" s="109" t="n">
        <x:f>IF(E40="Sí",K40*N40,0)</x:f>
        <x:v>0</x:v>
      </x:c>
      <x:c r="R40" s="104" t="str">
        <x:v>Al menos tres decisiones relevantes quedan justificadas y revisadas.</x:v>
      </x:c>
      <x:c r="S40" s="104" t="str">
        <x:v>ADRs</x:v>
      </x:c>
      <x:c r="T40" s="104" t="str">
        <x:v>Decisiones reales</x:v>
      </x:c>
      <x:c r="U40" s="107" t="str"/>
    </x:row>
    <x:row r="41">
      <x:c r="A41" s="104" t="str">
        <x:v>PI.MET.01</x:v>
      </x:c>
      <x:c r="B41" s="104" t="str">
        <x:v>Métricas de proyecto</x:v>
      </x:c>
      <x:c r="C41" s="104" t="str">
        <x:v>Crear panel de seguimiento con throughput, lead time y burnup/burndown</x:v>
      </x:c>
      <x:c r="D41" s="104" t="str">
        <x:v>OPT</x:v>
      </x:c>
      <x:c r="E41" s="107" t="str">
        <x:v>No</x:v>
      </x:c>
      <x:c r="F41" s="104" t="str">
        <x:v>H3</x:v>
      </x:c>
      <x:c r="G41" s="107" t="str"/>
      <x:c r="H41" s="104" t="n">
        <x:v>4</x:v>
      </x:c>
      <x:c r="I41" s="107" t="n">
        <x:v>4</x:v>
      </x:c>
      <x:c r="J41" s="107"/>
      <x:c r="K41" s="104" t="n">
        <x:v>3</x:v>
      </x:c>
      <x:c r="L41" s="107"/>
      <x:c r="M41" s="107" t="str"/>
      <x:c r="N41" s="108" t="n">
        <x:v>0</x:v>
      </x:c>
      <x:c r="O41" s="107" t="str">
        <x:v>NO CONTRATADA</x:v>
      </x:c>
      <x:c r="P41" s="109" t="n">
        <x:f>IF(AND(E41="Sí",O41="ACEPTADA"),K41,0)</x:f>
        <x:v>0</x:v>
      </x:c>
      <x:c r="Q41" s="109" t="n">
        <x:f>IF(E41="Sí",K41*N41,0)</x:f>
        <x:v>0</x:v>
      </x:c>
      <x:c r="R41" s="104" t="str">
        <x:v>Las métricas proceden del trabajo real y se usan en una retrospectiva.</x:v>
      </x:c>
      <x:c r="S41" s="104" t="str">
        <x:v>Dashboard + análisis</x:v>
      </x:c>
      <x:c r="T41" s="104" t="str">
        <x:v>GitHub Project con datos</x:v>
      </x:c>
      <x:c r="U41" s="107" t="str"/>
    </x:row>
    <x:row r="42">
      <x:c r="A42" s="104" t="str">
        <x:v>PI.MET.02</x:v>
      </x:c>
      <x:c r="B42" s="104" t="str">
        <x:v>Métricas de proyecto</x:v>
      </x:c>
      <x:c r="C42" s="104" t="str">
        <x:v>Definir y aplicar técnica de estimación/refinamiento del backlog</x:v>
      </x:c>
      <x:c r="D42" s="104" t="str">
        <x:v>OPT</x:v>
      </x:c>
      <x:c r="E42" s="107" t="str">
        <x:v>No</x:v>
      </x:c>
      <x:c r="F42" s="104" t="str">
        <x:v>H2</x:v>
      </x:c>
      <x:c r="G42" s="107" t="str"/>
      <x:c r="H42" s="104" t="n">
        <x:v>3</x:v>
      </x:c>
      <x:c r="I42" s="107" t="n">
        <x:v>3</x:v>
      </x:c>
      <x:c r="J42" s="107"/>
      <x:c r="K42" s="104" t="n">
        <x:v>2</x:v>
      </x:c>
      <x:c r="L42" s="107"/>
      <x:c r="M42" s="107" t="str"/>
      <x:c r="N42" s="108" t="n">
        <x:v>0</x:v>
      </x:c>
      <x:c r="O42" s="107" t="str">
        <x:v>NO CONTRATADA</x:v>
      </x:c>
      <x:c r="P42" s="109" t="n">
        <x:f>IF(AND(E42="Sí",O42="ACEPTADA"),K42,0)</x:f>
        <x:v>0</x:v>
      </x:c>
      <x:c r="Q42" s="109" t="n">
        <x:f>IF(E42="Sí",K42*N42,0)</x:f>
        <x:v>0</x:v>
      </x:c>
      <x:c r="R42" s="104" t="str">
        <x:v>La técnica se aplica a un conjunto de tareas y se revisa frente al resultado.</x:v>
      </x:c>
      <x:c r="S42" s="104" t="str">
        <x:v>Registro de estimaciones</x:v>
      </x:c>
      <x:c r="T42" s="104" t="str">
        <x:v>Backlog</x:v>
      </x:c>
      <x:c r="U42" s="107" t="str"/>
    </x:row>
    <x:row r="43">
      <x:c r="A43" s="104" t="str">
        <x:v>PI.QUAL.01</x:v>
      </x:c>
      <x:c r="B43" s="104" t="str">
        <x:v>Gobierno de calidad</x:v>
      </x:c>
      <x:c r="C43" s="104" t="str">
        <x:v>Definir presupuesto de calidad con umbrales de rendimiento, seguridad y accesibilidad</x:v>
      </x:c>
      <x:c r="D43" s="104" t="str">
        <x:v>ADV</x:v>
      </x:c>
      <x:c r="E43" s="107" t="str">
        <x:v>No</x:v>
      </x:c>
      <x:c r="F43" s="104" t="str">
        <x:v>H4</x:v>
      </x:c>
      <x:c r="G43" s="107" t="str"/>
      <x:c r="H43" s="104" t="n">
        <x:v>5</x:v>
      </x:c>
      <x:c r="I43" s="107" t="n">
        <x:v>5</x:v>
      </x:c>
      <x:c r="J43" s="107"/>
      <x:c r="K43" s="104" t="n">
        <x:v>3</x:v>
      </x:c>
      <x:c r="L43" s="107"/>
      <x:c r="M43" s="107" t="str"/>
      <x:c r="N43" s="108" t="n">
        <x:v>0</x:v>
      </x:c>
      <x:c r="O43" s="107" t="str">
        <x:v>NO CONTRATADA</x:v>
      </x:c>
      <x:c r="P43" s="109" t="n">
        <x:f>IF(AND(E43="Sí",O43="ACEPTADA"),K43,0)</x:f>
        <x:v>0</x:v>
      </x:c>
      <x:c r="Q43" s="109" t="n">
        <x:f>IF(E43="Sí",K43*N43,0)</x:f>
        <x:v>0</x:v>
      </x:c>
      <x:c r="R43" s="104" t="str">
        <x:v>Los umbrales son medibles y generan acciones cuando no se cumplen.</x:v>
      </x:c>
      <x:c r="S43" s="104" t="str">
        <x:v>Quality budget</x:v>
      </x:c>
      <x:c r="T43" s="104" t="str">
        <x:v>Producto vertical</x:v>
      </x:c>
      <x:c r="U43" s="107" t="str"/>
    </x:row>
    <x:row r="44">
      <x:c r="A44" s="104" t="str">
        <x:v>PI.DOC.01</x:v>
      </x:c>
      <x:c r="B44" s="104" t="str">
        <x:v>Documentación</x:v>
      </x:c>
      <x:c r="C44" s="104" t="str">
        <x:v>Redactar manual de usuario validado sobre los flujos realmente implementados</x:v>
      </x:c>
      <x:c r="D44" s="104" t="str">
        <x:v>OPT</x:v>
      </x:c>
      <x:c r="E44" s="107" t="str">
        <x:v>No</x:v>
      </x:c>
      <x:c r="F44" s="104" t="str">
        <x:v>H5</x:v>
      </x:c>
      <x:c r="G44" s="107" t="str"/>
      <x:c r="H44" s="104" t="n">
        <x:v>4</x:v>
      </x:c>
      <x:c r="I44" s="107" t="n">
        <x:v>4</x:v>
      </x:c>
      <x:c r="J44" s="107"/>
      <x:c r="K44" s="104" t="n">
        <x:v>2</x:v>
      </x:c>
      <x:c r="L44" s="107"/>
      <x:c r="M44" s="107" t="str"/>
      <x:c r="N44" s="108" t="n">
        <x:v>0</x:v>
      </x:c>
      <x:c r="O44" s="107" t="str">
        <x:v>NO CONTRATADA</x:v>
      </x:c>
      <x:c r="P44" s="109" t="n">
        <x:f>IF(AND(E44="Sí",O44="ACEPTADA"),K44,0)</x:f>
        <x:v>0</x:v>
      </x:c>
      <x:c r="Q44" s="109" t="n">
        <x:f>IF(E44="Sí",K44*N44,0)</x:f>
        <x:v>0</x:v>
      </x:c>
      <x:c r="R44" s="104" t="str">
        <x:v>El manual reproduce los flujos de la release y no describe funciones inexistentes.</x:v>
      </x:c>
      <x:c r="S44" s="104" t="str">
        <x:v>Manual + prueba con usuario</x:v>
      </x:c>
      <x:c r="T44" s="104" t="str">
        <x:v>Release candidata</x:v>
      </x:c>
      <x:c r="U44" s="107" t="str"/>
    </x:row>
    <x:row r="45">
      <x:c r="A45" s="104" t="str">
        <x:v>PI.DOC.02</x:v>
      </x:c>
      <x:c r="B45" s="104" t="str">
        <x:v>Documentación</x:v>
      </x:c>
      <x:c r="C45" s="104" t="str">
        <x:v>Crear runbook operativo ampliado de despliegue, backup, incidencias y recuperación</x:v>
      </x:c>
      <x:c r="D45" s="104" t="str">
        <x:v>ADV</x:v>
      </x:c>
      <x:c r="E45" s="107" t="str">
        <x:v>No</x:v>
      </x:c>
      <x:c r="F45" s="104" t="str">
        <x:v>H5</x:v>
      </x:c>
      <x:c r="G45" s="107" t="str"/>
      <x:c r="H45" s="104" t="n">
        <x:v>5</x:v>
      </x:c>
      <x:c r="I45" s="107" t="n">
        <x:v>5</x:v>
      </x:c>
      <x:c r="J45" s="107"/>
      <x:c r="K45" s="104" t="n">
        <x:v>3</x:v>
      </x:c>
      <x:c r="L45" s="107"/>
      <x:c r="M45" s="107" t="str"/>
      <x:c r="N45" s="108" t="n">
        <x:v>0</x:v>
      </x:c>
      <x:c r="O45" s="107" t="str">
        <x:v>NO CONTRATADA</x:v>
      </x:c>
      <x:c r="P45" s="109" t="n">
        <x:f>IF(AND(E45="Sí",O45="ACEPTADA"),K45,0)</x:f>
        <x:v>0</x:v>
      </x:c>
      <x:c r="Q45" s="109" t="n">
        <x:f>IF(E45="Sí",K45*N45,0)</x:f>
        <x:v>0</x:v>
      </x:c>
      <x:c r="R45" s="104" t="str">
        <x:v>Incluye escenarios normales y de fallo probados.</x:v>
      </x:c>
      <x:c r="S45" s="104" t="str">
        <x:v>Runbook operativo</x:v>
      </x:c>
      <x:c r="T45" s="104" t="str">
        <x:v>Servicios desplegados</x:v>
      </x:c>
      <x:c r="U45" s="107" t="str"/>
    </x:row>
    <x:row r="46">
      <x:c r="A46" s="104" t="str">
        <x:v>PI.REL.01</x:v>
      </x:c>
      <x:c r="B46" s="104" t="str">
        <x:v>Release engineering</x:v>
      </x:c>
      <x:c r="C46" s="104" t="str">
        <x:v>Implantar versionado SemVer y proceso repetible de release</x:v>
      </x:c>
      <x:c r="D46" s="104" t="str">
        <x:v>ADV</x:v>
      </x:c>
      <x:c r="E46" s="107" t="str">
        <x:v>No</x:v>
      </x:c>
      <x:c r="F46" s="104" t="str">
        <x:v>H4</x:v>
      </x:c>
      <x:c r="G46" s="107" t="str"/>
      <x:c r="H46" s="104" t="n">
        <x:v>5</x:v>
      </x:c>
      <x:c r="I46" s="107" t="n">
        <x:v>5</x:v>
      </x:c>
      <x:c r="J46" s="107"/>
      <x:c r="K46" s="104" t="n">
        <x:v>3</x:v>
      </x:c>
      <x:c r="L46" s="107"/>
      <x:c r="M46" s="107" t="str"/>
      <x:c r="N46" s="108" t="n">
        <x:v>0</x:v>
      </x:c>
      <x:c r="O46" s="107" t="str">
        <x:v>NO CONTRATADA</x:v>
      </x:c>
      <x:c r="P46" s="109" t="n">
        <x:f>IF(AND(E46="Sí",O46="ACEPTADA"),K46,0)</x:f>
        <x:v>0</x:v>
      </x:c>
      <x:c r="Q46" s="109" t="n">
        <x:f>IF(E46="Sí",K46*N46,0)</x:f>
        <x:v>0</x:v>
      </x:c>
      <x:c r="R46" s="104" t="str">
        <x:v>Un tag genera/identifica artefactos y notas de release coherentes.</x:v>
      </x:c>
      <x:c r="S46" s="104" t="str">
        <x:v>Release reproducible</x:v>
      </x:c>
      <x:c r="T46" s="104" t="str">
        <x:v>CI disponible</x:v>
      </x:c>
      <x:c r="U46" s="107" t="str"/>
    </x:row>
    <x:row r="47">
      <x:c r="A47" s="104" t="str">
        <x:v>PI.PORT.01</x:v>
      </x:c>
      <x:c r="B47" s="104" t="str">
        <x:v>Evidencia individual</x:v>
      </x:c>
      <x:c r="C47" s="104" t="str">
        <x:v>Mantener portfolio individual enlazando tareas, PR, decisiones, pruebas y demos</x:v>
      </x:c>
      <x:c r="D47" s="104" t="str">
        <x:v>OPT</x:v>
      </x:c>
      <x:c r="E47" s="107" t="str">
        <x:v>No</x:v>
      </x:c>
      <x:c r="F47" s="104" t="str">
        <x:v>H5</x:v>
      </x:c>
      <x:c r="G47" s="107" t="str"/>
      <x:c r="H47" s="104" t="n">
        <x:v>4</x:v>
      </x:c>
      <x:c r="I47" s="107" t="n">
        <x:v>4</x:v>
      </x:c>
      <x:c r="J47" s="107"/>
      <x:c r="K47" s="104" t="n">
        <x:v>3</x:v>
      </x:c>
      <x:c r="L47" s="107"/>
      <x:c r="M47" s="107" t="str"/>
      <x:c r="N47" s="108" t="n">
        <x:v>0</x:v>
      </x:c>
      <x:c r="O47" s="107" t="str">
        <x:v>NO CONTRATADA</x:v>
      </x:c>
      <x:c r="P47" s="109" t="n">
        <x:f>IF(AND(E47="Sí",O47="ACEPTADA"),K47,0)</x:f>
        <x:v>0</x:v>
      </x:c>
      <x:c r="Q47" s="109" t="n">
        <x:f>IF(E47="Sí",K47*N47,0)</x:f>
        <x:v>0</x:v>
      </x:c>
      <x:c r="R47" s="104" t="str">
        <x:v>Cada evidencia es verificable y corresponde a responsabilidad real.</x:v>
      </x:c>
      <x:c r="S47" s="104" t="str">
        <x:v>Índice de evidencias</x:v>
      </x:c>
      <x:c r="T47" s="104" t="str">
        <x:v>Trabajo individual</x:v>
      </x:c>
      <x:c r="U47" s="107" t="str"/>
    </x:row>
    <x:row r="48">
      <x:c r="A48" s="104" t="str">
        <x:v>PI.COM.01</x:v>
      </x:c>
      <x:c r="B48" s="104" t="str">
        <x:v>Aceptación y comunicación</x:v>
      </x:c>
      <x:c r="C48" s="104" t="str">
        <x:v>Registrar actas de demo/aceptación por hito con cambios solicitados</x:v>
      </x:c>
      <x:c r="D48" s="104" t="str">
        <x:v>OPT</x:v>
      </x:c>
      <x:c r="E48" s="107" t="str">
        <x:v>No</x:v>
      </x:c>
      <x:c r="F48" s="104" t="str">
        <x:v>H2-H5</x:v>
      </x:c>
      <x:c r="G48" s="107" t="str"/>
      <x:c r="H48" s="104" t="n">
        <x:v>3</x:v>
      </x:c>
      <x:c r="I48" s="107" t="n">
        <x:v>3</x:v>
      </x:c>
      <x:c r="J48" s="107"/>
      <x:c r="K48" s="104" t="n">
        <x:v>2</x:v>
      </x:c>
      <x:c r="L48" s="107"/>
      <x:c r="M48" s="107" t="str"/>
      <x:c r="N48" s="108" t="n">
        <x:v>0</x:v>
      </x:c>
      <x:c r="O48" s="107" t="str">
        <x:v>NO CONTRATADA</x:v>
      </x:c>
      <x:c r="P48" s="109" t="n">
        <x:f>IF(AND(E48="Sí",O48="ACEPTADA"),K48,0)</x:f>
        <x:v>0</x:v>
      </x:c>
      <x:c r="Q48" s="109" t="n">
        <x:f>IF(E48="Sí",K48*N48,0)</x:f>
        <x:v>0</x:v>
      </x:c>
      <x:c r="R48" s="104" t="str">
        <x:v>Cada hito tiene decisión de aceptación o cambios y responsable.</x:v>
      </x:c>
      <x:c r="S48" s="104" t="str">
        <x:v>Actas de hito</x:v>
      </x:c>
      <x:c r="T48" s="104" t="str">
        <x:v>Checkpoints</x:v>
      </x:c>
      <x:c r="U48" s="107" t="str"/>
    </x:row>
  </x:sheetData>
  <x:mergeCells>
    <x:mergeCell ref="A1:U1"/>
    <x:mergeCell ref="A2:U2"/>
  </x:mergeCells>
  <x:conditionalFormatting sqref="O15:O48">
    <x:cfRule type="expression" dxfId="3" priority="4">
      <x:formula>O15="ACEPTADA"</x:formula>
    </x:cfRule>
    <x:cfRule type="expression" dxfId="4" priority="5">
      <x:formula>O15="BLOQUEADA"</x:formula>
    </x:cfRule>
  </x:conditionalFormatting>
  <x:conditionalFormatting sqref="D15:D48">
    <x:cfRule type="expression" dxfId="15" priority="6">
      <x:formula>D15="OBL"</x:formula>
    </x:cfRule>
    <x:cfRule type="expression" dxfId="16" priority="7">
      <x:formula>D15="ADV"</x:formula>
    </x:cfRule>
    <x:cfRule type="expression" dxfId="17" priority="8">
      <x:formula>D15="OPT"</x:formula>
    </x:cfRule>
  </x:conditionalFormatting>
  <x:conditionalFormatting sqref="N15:N48">
    <x:cfRule type="dataBar" priority="9">
      <x:dataBar>
        <x:cfvo type="min"/>
        <x:cfvo type="max"/>
        <x:color rgb="FFA02B93"/>
      </x:dataBar>
      <x:extLst>
        <x:ext xmlns:x14="http://schemas.microsoft.com/office/spreadsheetml/2009/9/main" uri="{B025F937-C7B1-47D3-B67F-A62EFF666E3E}">
          <x14:id>{8FF91375-0FDE-3165-1AAC-E48200D7F420}</x14:id>
        </x:ext>
      </x:extLst>
    </x:cfRule>
  </x:conditionalFormatting>
  <x:dataValidations count="4">
    <x:dataValidation type="list" sqref="E15:E48">
      <x:formula1>"Sí,No"</x:formula1>
    </x:dataValidation>
    <x:dataValidation type="list" sqref="G15:G48">
      <x:formula1>"H0,H1,H2,H3,H4,H5"</x:formula1>
    </x:dataValidation>
    <x:dataValidation type="list" sqref="O15:O48">
      <x:formula1>"NO CONTRATADA,BACKLOG,PLANIFICADA,EN DESARROLLO,EN REVISIÓN,ACEPTADA,BLOQUEADA,RECUPERACIÓN"</x:formula1>
    </x:dataValidation>
    <x:dataValidation type="list" sqref="L15:L48">
      <x:formula1>'16 Contrato firma'!$B$7:$B$10</x:formula1>
    </x:dataValidation>
  </x:dataValidations>
  <x:pageMargins left="0.7" right="0.7" top="0.75" bottom="0.75" header="0.3" footer="0.3"/>
  <x:tableParts count="1">
    <x:tablePart xmlns:r="http://schemas.openxmlformats.org/officeDocument/2006/relationships" r:id="R4873b7eafbbb452f"/>
  </x:tableParts>
  <x:extLst>
    <x:ext xmlns:x14="http://schemas.microsoft.com/office/spreadsheetml/2009/9/main" xmlns:xm="http://schemas.microsoft.com/office/excel/2006/main" uri="{78C0D931-6437-407d-A8EE-F0AAD7539E65}">
      <x14:conditionalFormattings>
        <x14:conditionalFormatting>
          <x14:cfRule type="dataBar" priority="9" id="{8FF91375-0FDE-3165-1AAC-E48200D7F420}">
            <x14:dataBar gradient="1">
              <x14:cfvo type="min"/>
              <x14:cfvo type="max"/>
              <x14:fillColor rgb="FFA02B93"/>
            </x14:dataBar>
          </x14:cfRule>
          <xm:sqref>N15:N48</xm:sqref>
        </x14:conditionalFormatting>
      </x14:conditionalFormattings>
    </x:ext>
  </x:extLst>
</x:worksheet>
</file>

<file path=xl/worksheets/sheet3.xml><?xml version="1.0" encoding="utf-8"?>
<x:worksheet xmlns:x="http://schemas.openxmlformats.org/spreadsheetml/2006/main">
  <x:sheetFormatPr defaultRowHeight="15"/>
  <x:cols>
    <x:col min="1" max="1" width="16" hidden="0" customWidth="1"/>
    <x:col min="2" max="2" width="24" hidden="0" customWidth="1"/>
    <x:col min="3" max="3" width="48" hidden="0" customWidth="1"/>
    <x:col min="4" max="4" width="9" hidden="0" customWidth="1"/>
    <x:col min="5" max="5" width="11" hidden="0" customWidth="1"/>
    <x:col min="6" max="6" width="14" hidden="0" customWidth="1"/>
    <x:col min="7" max="7" width="14" hidden="0" customWidth="1"/>
    <x:col min="8" max="8" width="12" hidden="0" customWidth="1"/>
    <x:col min="9" max="9" width="12" hidden="0" customWidth="1"/>
    <x:col min="10" max="10" width="12" hidden="0" customWidth="1"/>
    <x:col min="11" max="11" width="7" hidden="0" customWidth="1"/>
    <x:col min="12" max="12" width="16" hidden="0" customWidth="1"/>
    <x:col min="13" max="13" width="10" hidden="0" customWidth="1"/>
    <x:col min="14" max="14" width="10" hidden="0" customWidth="1"/>
    <x:col min="15" max="15" width="16" hidden="0" customWidth="1"/>
    <x:col min="16" max="16" width="11" hidden="0" customWidth="1"/>
    <x:col min="17" max="17" width="11" hidden="0" customWidth="1"/>
    <x:col min="18" max="18" width="52" hidden="0" customWidth="1"/>
    <x:col min="19" max="19" width="30" hidden="0" customWidth="1"/>
    <x:col min="20" max="20" width="28" hidden="0" customWidth="1"/>
    <x:col min="21" max="21" width="28" hidden="0" customWidth="1"/>
  </x:cols>
  <x:sheetData>
    <x:row r="1" ht="28" customHeight="1">
      <x:c r="A1" s="88" t="str">
        <x:v>Acceso a Datos · Presupuesto de tareas · AulaFlow 2.0 · v1.0 · copia operativa</x:v>
      </x:c>
      <x:c r="B1" s="88"/>
      <x:c r="C1" s="88"/>
      <x:c r="D1" s="88"/>
      <x:c r="E1" s="88"/>
      <x:c r="F1" s="88"/>
      <x:c r="G1" s="88"/>
      <x:c r="H1" s="88"/>
      <x:c r="I1" s="88"/>
      <x:c r="J1" s="88"/>
      <x:c r="K1" s="88"/>
      <x:c r="L1" s="88"/>
      <x:c r="M1" s="88"/>
      <x:c r="N1" s="88"/>
      <x:c r="O1" s="88"/>
      <x:c r="P1" s="88"/>
      <x:c r="Q1" s="88"/>
      <x:c r="R1" s="88"/>
      <x:c r="S1" s="88"/>
      <x:c r="T1" s="88"/>
      <x:c r="U1" s="88"/>
    </x:row>
    <x:row r="2" ht="40" customHeight="1">
      <x:c r="A2" s="91" t="str">
        <x:v>Backend/API/persistencia del producto. Las tareas son entregables del proyecto y la tecnología de persistencia puede adaptarse al módulo. Los 70 AT OBL forman parte del núcleo. Las horas son horas-persona totales del equipo para cada tarea.</x:v>
      </x:c>
      <x:c r="B2" s="91"/>
      <x:c r="C2" s="91"/>
      <x:c r="D2" s="91"/>
      <x:c r="E2" s="91"/>
      <x:c r="F2" s="91"/>
      <x:c r="G2" s="91"/>
      <x:c r="H2" s="91"/>
      <x:c r="I2" s="91"/>
      <x:c r="J2" s="91"/>
      <x:c r="K2" s="91"/>
      <x:c r="L2" s="91"/>
      <x:c r="M2" s="91"/>
      <x:c r="N2" s="91"/>
      <x:c r="O2" s="91"/>
      <x:c r="P2" s="91"/>
      <x:c r="Q2" s="91"/>
      <x:c r="R2" s="91"/>
      <x:c r="S2" s="91"/>
      <x:c r="T2" s="91"/>
      <x:c r="U2" s="91"/>
    </x:row>
    <x:row r="4">
      <x:c r="A4" s="79" t="str">
        <x:v>RESUMEN</x:v>
      </x:c>
      <x:c r="B4" s="79" t="str">
        <x:v>VALOR</x:v>
      </x:c>
    </x:row>
    <x:row r="5">
      <x:c r="A5" s="95" t="str">
        <x:v>AT obligatorios ofertados</x:v>
      </x:c>
      <x:c r="B5" s="96" t="n">
        <x:f>SUMIF(D15:D67,"OBL",K15:K67)</x:f>
        <x:v>70</x:v>
      </x:c>
    </x:row>
    <x:row r="6">
      <x:c r="A6" s="95" t="str">
        <x:v>AT totales ofertados</x:v>
      </x:c>
      <x:c r="B6" s="96" t="n">
        <x:f>SUM(K15:K67)</x:f>
        <x:v>142</x:v>
      </x:c>
    </x:row>
    <x:row r="7">
      <x:c r="A7" s="95" t="str">
        <x:v>AT seleccionados</x:v>
      </x:c>
      <x:c r="B7" s="96" t="n">
        <x:f>SUMIF(E15:E67,"Sí",K15:K67)</x:f>
        <x:v>70</x:v>
      </x:c>
    </x:row>
    <x:row r="8">
      <x:c r="A8" s="95" t="str">
        <x:v>AT validados</x:v>
      </x:c>
      <x:c r="B8" s="96" t="n">
        <x:f>SUM(P15:P67)</x:f>
        <x:v>0</x:v>
      </x:c>
    </x:row>
    <x:row r="9">
      <x:c r="A9" s="95" t="str">
        <x:v>Horas recomendadas seleccionadas</x:v>
      </x:c>
      <x:c r="B9" s="96" t="n">
        <x:f>SUMIF(E15:E67,"Sí",H15:H67)</x:f>
        <x:v>131</x:v>
      </x:c>
    </x:row>
    <x:row r="10">
      <x:c r="A10" s="95" t="str">
        <x:v>Horas presupuestadas seleccionadas</x:v>
      </x:c>
      <x:c r="B10" s="96" t="n">
        <x:f>SUMIF(E15:E67,"Sí",I15:I67)</x:f>
        <x:v>131</x:v>
      </x:c>
    </x:row>
    <x:row r="11">
      <x:c r="A11" s="95" t="str">
        <x:v>Horas dedicadas</x:v>
      </x:c>
      <x:c r="B11" s="96" t="n">
        <x:f>SUM(J15:J67)</x:f>
        <x:v>0</x:v>
      </x:c>
    </x:row>
    <x:row r="12">
      <x:c r="A12" s="95" t="str">
        <x:v>Progreso ponderado por AT</x:v>
      </x:c>
      <x:c r="B12" s="97" t="n">
        <x:f>IF(B7=0,0,SUM(Q15:Q67)/B7)</x:f>
        <x:v>0</x:v>
      </x:c>
    </x:row>
    <x:row r="14" ht="44" customHeight="1">
      <x:c r="A14" s="100" t="str">
        <x:v>ID</x:v>
      </x:c>
      <x:c r="B14" s="100" t="str">
        <x:v>Especificación / funcionalidad</x:v>
      </x:c>
      <x:c r="C14" s="100" t="str">
        <x:v>Tarea / entregable</x:v>
      </x:c>
      <x:c r="D14" s="100" t="str">
        <x:v>Tipo</x:v>
      </x:c>
      <x:c r="E14" s="100" t="str">
        <x:v>Seleccionada</x:v>
      </x:c>
      <x:c r="F14" s="100" t="str">
        <x:v>Hito recomendado</x:v>
      </x:c>
      <x:c r="G14" s="100" t="str">
        <x:v>Hito elegido</x:v>
      </x:c>
      <x:c r="H14" s="100" t="str">
        <x:v>Horas recomendadas (equipo)</x:v>
      </x:c>
      <x:c r="I14" s="100" t="str">
        <x:v>Horas presupuestadas (equipo)</x:v>
      </x:c>
      <x:c r="J14" s="100" t="str">
        <x:v>Horas dedicadas (equipo)</x:v>
      </x:c>
      <x:c r="K14" s="100" t="str">
        <x:v>AT</x:v>
      </x:c>
      <x:c r="L14" s="100" t="str">
        <x:v>Responsable</x:v>
      </x:c>
      <x:c r="M14" s="100" t="str">
        <x:v>Sprint</x:v>
      </x:c>
      <x:c r="N14" s="100" t="str">
        <x:v>% realizado</x:v>
      </x:c>
      <x:c r="O14" s="100" t="str">
        <x:v>Estado</x:v>
      </x:c>
      <x:c r="P14" s="100" t="str">
        <x:v>AT validados</x:v>
      </x:c>
      <x:c r="Q14" s="100" t="str">
        <x:v>AT progreso</x:v>
      </x:c>
      <x:c r="R14" s="100" t="str">
        <x:v>Criterios de aceptación</x:v>
      </x:c>
      <x:c r="S14" s="100" t="str">
        <x:v>Evidencia esperada</x:v>
      </x:c>
      <x:c r="T14" s="100" t="str">
        <x:v>Dependencias</x:v>
      </x:c>
      <x:c r="U14" s="100" t="str">
        <x:v>Observaciones</x:v>
      </x:c>
    </x:row>
    <x:row r="15">
      <x:c r="A15" s="104" t="str">
        <x:v>AD.API.01</x:v>
      </x:c>
      <x:c r="B15" s="104" t="str">
        <x:v>API y contrato</x:v>
      </x:c>
      <x:c r="C15" s="104" t="str">
        <x:v>Crear esqueleto del backend v2 con configuración externalizada</x:v>
      </x:c>
      <x:c r="D15" s="104" t="str">
        <x:v>OBL</x:v>
      </x:c>
      <x:c r="E15" s="107" t="str">
        <x:v>Sí</x:v>
      </x:c>
      <x:c r="F15" s="104" t="str">
        <x:v>H1</x:v>
      </x:c>
      <x:c r="G15" s="107" t="str"/>
      <x:c r="H15" s="104" t="n">
        <x:v>4</x:v>
      </x:c>
      <x:c r="I15" s="107" t="n">
        <x:v>4</x:v>
      </x:c>
      <x:c r="J15" s="107"/>
      <x:c r="K15" s="104" t="n">
        <x:v>2</x:v>
      </x:c>
      <x:c r="L15" s="107"/>
      <x:c r="M15" s="107" t="str"/>
      <x:c r="N15" s="108" t="n">
        <x:v>0</x:v>
      </x:c>
      <x:c r="O15" s="107" t="str">
        <x:v>BACKLOG</x:v>
      </x:c>
      <x:c r="P15" s="109" t="n">
        <x:f>IF(AND(E15="Sí",O15="ACEPTADA"),K15,0)</x:f>
        <x:v>0</x:v>
      </x:c>
      <x:c r="Q15" s="109" t="n">
        <x:f>IF(E15="Sí",K15*N15,0)</x:f>
        <x:v>0</x:v>
      </x:c>
      <x:c r="R15" s="104" t="str">
        <x:v>El backend arranca por configuración de entorno y expone health básico.</x:v>
      </x:c>
      <x:c r="S15" s="104" t="str">
        <x:v>Issue + PR + run local</x:v>
      </x:c>
      <x:c r="T15" s="104" t="str">
        <x:v>G1</x:v>
      </x:c>
      <x:c r="U15" s="107" t="str"/>
    </x:row>
    <x:row r="16">
      <x:c r="A16" s="104" t="str">
        <x:v>AD.API.02</x:v>
      </x:c>
      <x:c r="B16" s="104" t="str">
        <x:v>API y contrato</x:v>
      </x:c>
      <x:c r="C16" s="104" t="str">
        <x:v>Publicar contrato OpenAPI v2 versionado para el núcleo</x:v>
      </x:c>
      <x:c r="D16" s="104" t="str">
        <x:v>OBL</x:v>
      </x:c>
      <x:c r="E16" s="107" t="str">
        <x:v>Sí</x:v>
      </x:c>
      <x:c r="F16" s="104" t="str">
        <x:v>H2</x:v>
      </x:c>
      <x:c r="G16" s="107" t="str"/>
      <x:c r="H16" s="104" t="n">
        <x:v>4</x:v>
      </x:c>
      <x:c r="I16" s="107" t="n">
        <x:v>4</x:v>
      </x:c>
      <x:c r="J16" s="107"/>
      <x:c r="K16" s="104" t="n">
        <x:v>2</x:v>
      </x:c>
      <x:c r="L16" s="107"/>
      <x:c r="M16" s="107" t="str"/>
      <x:c r="N16" s="108" t="n">
        <x:v>0</x:v>
      </x:c>
      <x:c r="O16" s="107" t="str">
        <x:v>BACKLOG</x:v>
      </x:c>
      <x:c r="P16" s="109" t="n">
        <x:f>IF(AND(E16="Sí",O16="ACEPTADA"),K16,0)</x:f>
        <x:v>0</x:v>
      </x:c>
      <x:c r="Q16" s="109" t="n">
        <x:f>IF(E16="Sí",K16*N16,0)</x:f>
        <x:v>0</x:v>
      </x:c>
      <x:c r="R16" s="104" t="str">
        <x:v>OpenAPI describe endpoints, modelos y respuestas del núcleo sin depender de un cliente.</x:v>
      </x:c>
      <x:c r="S16" s="104" t="str">
        <x:v>openapi.yaml/json + PR</x:v>
      </x:c>
      <x:c r="T16" s="104" t="str">
        <x:v>AD.API.01</x:v>
      </x:c>
      <x:c r="U16" s="107" t="str"/>
    </x:row>
    <x:row r="17">
      <x:c r="A17" s="104" t="str">
        <x:v>AD.API.03</x:v>
      </x:c>
      <x:c r="B17" s="104" t="str">
        <x:v>API y contrato</x:v>
      </x:c>
      <x:c r="C17" s="104" t="str">
        <x:v>Definir modelo común de errores y códigos HTTP</x:v>
      </x:c>
      <x:c r="D17" s="104" t="str">
        <x:v>OBL</x:v>
      </x:c>
      <x:c r="E17" s="107" t="str">
        <x:v>Sí</x:v>
      </x:c>
      <x:c r="F17" s="104" t="str">
        <x:v>H2</x:v>
      </x:c>
      <x:c r="G17" s="107" t="str"/>
      <x:c r="H17" s="104" t="n">
        <x:v>3</x:v>
      </x:c>
      <x:c r="I17" s="107" t="n">
        <x:v>3</x:v>
      </x:c>
      <x:c r="J17" s="107"/>
      <x:c r="K17" s="104" t="n">
        <x:v>2</x:v>
      </x:c>
      <x:c r="L17" s="107"/>
      <x:c r="M17" s="107" t="str"/>
      <x:c r="N17" s="108" t="n">
        <x:v>0</x:v>
      </x:c>
      <x:c r="O17" s="107" t="str">
        <x:v>BACKLOG</x:v>
      </x:c>
      <x:c r="P17" s="109" t="n">
        <x:f>IF(AND(E17="Sí",O17="ACEPTADA"),K17,0)</x:f>
        <x:v>0</x:v>
      </x:c>
      <x:c r="Q17" s="109" t="n">
        <x:f>IF(E17="Sí",K17*N17,0)</x:f>
        <x:v>0</x:v>
      </x:c>
      <x:c r="R17" s="104" t="str">
        <x:v>Errores de validación, autenticación, permiso y recurso inexistente son distinguibles.</x:v>
      </x:c>
      <x:c r="S17" s="104" t="str">
        <x:v>Tests + ejemplos HTTP</x:v>
      </x:c>
      <x:c r="T17" s="104" t="str">
        <x:v>AD.API.01</x:v>
      </x:c>
      <x:c r="U17" s="107" t="str"/>
    </x:row>
    <x:row r="18">
      <x:c r="A18" s="104" t="str">
        <x:v>AD.API.04</x:v>
      </x:c>
      <x:c r="B18" s="104" t="str">
        <x:v>API y contrato</x:v>
      </x:c>
      <x:c r="C18" s="104" t="str">
        <x:v>Implementar validación de entrada y mensajes de dominio</x:v>
      </x:c>
      <x:c r="D18" s="104" t="str">
        <x:v>OBL</x:v>
      </x:c>
      <x:c r="E18" s="107" t="str">
        <x:v>Sí</x:v>
      </x:c>
      <x:c r="F18" s="104" t="str">
        <x:v>H2</x:v>
      </x:c>
      <x:c r="G18" s="107" t="str"/>
      <x:c r="H18" s="104" t="n">
        <x:v>3</x:v>
      </x:c>
      <x:c r="I18" s="107" t="n">
        <x:v>3</x:v>
      </x:c>
      <x:c r="J18" s="107"/>
      <x:c r="K18" s="104" t="n">
        <x:v>2</x:v>
      </x:c>
      <x:c r="L18" s="107"/>
      <x:c r="M18" s="107" t="str"/>
      <x:c r="N18" s="108" t="n">
        <x:v>0</x:v>
      </x:c>
      <x:c r="O18" s="107" t="str">
        <x:v>BACKLOG</x:v>
      </x:c>
      <x:c r="P18" s="109" t="n">
        <x:f>IF(AND(E18="Sí",O18="ACEPTADA"),K18,0)</x:f>
        <x:v>0</x:v>
      </x:c>
      <x:c r="Q18" s="109" t="n">
        <x:f>IF(E18="Sí",K18*N18,0)</x:f>
        <x:v>0</x:v>
      </x:c>
      <x:c r="R18" s="104" t="str">
        <x:v>Entradas inválidas no llegan silenciosamente a persistencia y devuelven 4xx coherente.</x:v>
      </x:c>
      <x:c r="S18" s="104" t="str">
        <x:v>Tests negativos</x:v>
      </x:c>
      <x:c r="T18" s="104" t="str">
        <x:v>AD.API.03</x:v>
      </x:c>
      <x:c r="U18" s="107" t="str"/>
    </x:row>
    <x:row r="19">
      <x:c r="A19" s="104" t="str">
        <x:v>AD.API.05</x:v>
      </x:c>
      <x:c r="B19" s="104" t="str">
        <x:v>API y contrato</x:v>
      </x:c>
      <x:c r="C19" s="104" t="str">
        <x:v>Preparar colección HTTP o tests de contrato reproducibles</x:v>
      </x:c>
      <x:c r="D19" s="104" t="str">
        <x:v>OBL</x:v>
      </x:c>
      <x:c r="E19" s="107" t="str">
        <x:v>Sí</x:v>
      </x:c>
      <x:c r="F19" s="104" t="str">
        <x:v>H2</x:v>
      </x:c>
      <x:c r="G19" s="107" t="str"/>
      <x:c r="H19" s="104" t="n">
        <x:v>3</x:v>
      </x:c>
      <x:c r="I19" s="107" t="n">
        <x:v>3</x:v>
      </x:c>
      <x:c r="J19" s="107"/>
      <x:c r="K19" s="104" t="n">
        <x:v>2</x:v>
      </x:c>
      <x:c r="L19" s="107"/>
      <x:c r="M19" s="107" t="str"/>
      <x:c r="N19" s="108" t="n">
        <x:v>0</x:v>
      </x:c>
      <x:c r="O19" s="107" t="str">
        <x:v>BACKLOG</x:v>
      </x:c>
      <x:c r="P19" s="109" t="n">
        <x:f>IF(AND(E19="Sí",O19="ACEPTADA"),K19,0)</x:f>
        <x:v>0</x:v>
      </x:c>
      <x:c r="Q19" s="109" t="n">
        <x:f>IF(E19="Sí",K19*N19,0)</x:f>
        <x:v>0</x:v>
      </x:c>
      <x:c r="R19" s="104" t="str">
        <x:v>Una persona puede ejecutar los casos esenciales sin editar peticiones manualmente.</x:v>
      </x:c>
      <x:c r="S19" s="104" t="str">
        <x:v>Colección/tests</x:v>
      </x:c>
      <x:c r="T19" s="104" t="str">
        <x:v>AD.API.02</x:v>
      </x:c>
      <x:c r="U19" s="107" t="str"/>
    </x:row>
    <x:row r="20">
      <x:c r="A20" s="104" t="str">
        <x:v>AD.AUTH.01</x:v>
      </x:c>
      <x:c r="B20" s="104" t="str">
        <x:v>Identidad y seguridad</x:v>
      </x:c>
      <x:c r="C20" s="104" t="str">
        <x:v>Modelar usuario y almacenamiento seguro de credenciales</x:v>
      </x:c>
      <x:c r="D20" s="104" t="str">
        <x:v>OBL</x:v>
      </x:c>
      <x:c r="E20" s="107" t="str">
        <x:v>Sí</x:v>
      </x:c>
      <x:c r="F20" s="104" t="str">
        <x:v>H2</x:v>
      </x:c>
      <x:c r="G20" s="107" t="str"/>
      <x:c r="H20" s="104" t="n">
        <x:v>4</x:v>
      </x:c>
      <x:c r="I20" s="107" t="n">
        <x:v>4</x:v>
      </x:c>
      <x:c r="J20" s="107"/>
      <x:c r="K20" s="104" t="n">
        <x:v>2</x:v>
      </x:c>
      <x:c r="L20" s="107"/>
      <x:c r="M20" s="107" t="str"/>
      <x:c r="N20" s="108" t="n">
        <x:v>0</x:v>
      </x:c>
      <x:c r="O20" s="107" t="str">
        <x:v>BACKLOG</x:v>
      </x:c>
      <x:c r="P20" s="109" t="n">
        <x:f>IF(AND(E20="Sí",O20="ACEPTADA"),K20,0)</x:f>
        <x:v>0</x:v>
      </x:c>
      <x:c r="Q20" s="109" t="n">
        <x:f>IF(E20="Sí",K20*N20,0)</x:f>
        <x:v>0</x:v>
      </x:c>
      <x:c r="R20" s="104" t="str">
        <x:v>No se almacenan contraseñas en claro y el modelo soporta identidad estable.</x:v>
      </x:c>
      <x:c r="S20" s="104" t="str">
        <x:v>Modelo + tests</x:v>
      </x:c>
      <x:c r="T20" s="104" t="str">
        <x:v>Persistencia de servidor</x:v>
      </x:c>
      <x:c r="U20" s="107" t="str"/>
    </x:row>
    <x:row r="21">
      <x:c r="A21" s="104" t="str">
        <x:v>AD.AUTH.02</x:v>
      </x:c>
      <x:c r="B21" s="104" t="str">
        <x:v>Identidad y seguridad</x:v>
      </x:c>
      <x:c r="C21" s="104" t="str">
        <x:v>Implementar endpoint de login y respuesta de autenticación</x:v>
      </x:c>
      <x:c r="D21" s="104" t="str">
        <x:v>OBL</x:v>
      </x:c>
      <x:c r="E21" s="107" t="str">
        <x:v>Sí</x:v>
      </x:c>
      <x:c r="F21" s="104" t="str">
        <x:v>H2</x:v>
      </x:c>
      <x:c r="G21" s="107" t="str"/>
      <x:c r="H21" s="104" t="n">
        <x:v>4</x:v>
      </x:c>
      <x:c r="I21" s="107" t="n">
        <x:v>4</x:v>
      </x:c>
      <x:c r="J21" s="107"/>
      <x:c r="K21" s="104" t="n">
        <x:v>2</x:v>
      </x:c>
      <x:c r="L21" s="107"/>
      <x:c r="M21" s="107" t="str"/>
      <x:c r="N21" s="108" t="n">
        <x:v>0</x:v>
      </x:c>
      <x:c r="O21" s="107" t="str">
        <x:v>BACKLOG</x:v>
      </x:c>
      <x:c r="P21" s="109" t="n">
        <x:f>IF(AND(E21="Sí",O21="ACEPTADA"),K21,0)</x:f>
        <x:v>0</x:v>
      </x:c>
      <x:c r="Q21" s="109" t="n">
        <x:f>IF(E21="Sí",K21*N21,0)</x:f>
        <x:v>0</x:v>
      </x:c>
      <x:c r="R21" s="104" t="str">
        <x:v>Credenciales válidas autentican; inválidas no revelan información sensible.</x:v>
      </x:c>
      <x:c r="S21" s="104" t="str">
        <x:v>Tests positivos/negativos</x:v>
      </x:c>
      <x:c r="T21" s="104" t="str">
        <x:v>AD.AUTH.01</x:v>
      </x:c>
      <x:c r="U21" s="107" t="str"/>
    </x:row>
    <x:row r="22">
      <x:c r="A22" s="104" t="str">
        <x:v>AD.AUTH.03</x:v>
      </x:c>
      <x:c r="B22" s="104" t="str">
        <x:v>Identidad y seguridad</x:v>
      </x:c>
      <x:c r="C22" s="104" t="str">
        <x:v>Validar sesión/token en peticiones protegidas</x:v>
      </x:c>
      <x:c r="D22" s="104" t="str">
        <x:v>OBL</x:v>
      </x:c>
      <x:c r="E22" s="107" t="str">
        <x:v>Sí</x:v>
      </x:c>
      <x:c r="F22" s="104" t="str">
        <x:v>H2</x:v>
      </x:c>
      <x:c r="G22" s="107" t="str"/>
      <x:c r="H22" s="104" t="n">
        <x:v>4</x:v>
      </x:c>
      <x:c r="I22" s="107" t="n">
        <x:v>4</x:v>
      </x:c>
      <x:c r="J22" s="107"/>
      <x:c r="K22" s="104" t="n">
        <x:v>2</x:v>
      </x:c>
      <x:c r="L22" s="107"/>
      <x:c r="M22" s="107" t="str"/>
      <x:c r="N22" s="108" t="n">
        <x:v>0</x:v>
      </x:c>
      <x:c r="O22" s="107" t="str">
        <x:v>BACKLOG</x:v>
      </x:c>
      <x:c r="P22" s="109" t="n">
        <x:f>IF(AND(E22="Sí",O22="ACEPTADA"),K22,0)</x:f>
        <x:v>0</x:v>
      </x:c>
      <x:c r="Q22" s="109" t="n">
        <x:f>IF(E22="Sí",K22*N22,0)</x:f>
        <x:v>0</x:v>
      </x:c>
      <x:c r="R22" s="104" t="str">
        <x:v>Recursos protegidos requieren identidad válida y sesión expirada se rechaza.</x:v>
      </x:c>
      <x:c r="S22" s="104" t="str">
        <x:v>Tests integración</x:v>
      </x:c>
      <x:c r="T22" s="104" t="str">
        <x:v>AD.AUTH.02</x:v>
      </x:c>
      <x:c r="U22" s="107" t="str"/>
    </x:row>
    <x:row r="23">
      <x:c r="A23" s="104" t="str">
        <x:v>AD.AUTH.04</x:v>
      </x:c>
      <x:c r="B23" s="104" t="str">
        <x:v>Identidad y seguridad</x:v>
      </x:c>
      <x:c r="C23" s="104" t="str">
        <x:v>Implementar logout o revocación de sesión</x:v>
      </x:c>
      <x:c r="D23" s="104" t="str">
        <x:v>OBL</x:v>
      </x:c>
      <x:c r="E23" s="107" t="str">
        <x:v>Sí</x:v>
      </x:c>
      <x:c r="F23" s="104" t="str">
        <x:v>H2</x:v>
      </x:c>
      <x:c r="G23" s="107" t="str"/>
      <x:c r="H23" s="104" t="n">
        <x:v>3</x:v>
      </x:c>
      <x:c r="I23" s="107" t="n">
        <x:v>3</x:v>
      </x:c>
      <x:c r="J23" s="107"/>
      <x:c r="K23" s="104" t="n">
        <x:v>1</x:v>
      </x:c>
      <x:c r="L23" s="107"/>
      <x:c r="M23" s="107" t="str"/>
      <x:c r="N23" s="108" t="n">
        <x:v>0</x:v>
      </x:c>
      <x:c r="O23" s="107" t="str">
        <x:v>BACKLOG</x:v>
      </x:c>
      <x:c r="P23" s="109" t="n">
        <x:f>IF(AND(E23="Sí",O23="ACEPTADA"),K23,0)</x:f>
        <x:v>0</x:v>
      </x:c>
      <x:c r="Q23" s="109" t="n">
        <x:f>IF(E23="Sí",K23*N23,0)</x:f>
        <x:v>0</x:v>
      </x:c>
      <x:c r="R23" s="104" t="str">
        <x:v>Tras logout/revocación la credencial deja de autorizar nuevas peticiones.</x:v>
      </x:c>
      <x:c r="S23" s="104" t="str">
        <x:v>Test logout/revocación</x:v>
      </x:c>
      <x:c r="T23" s="104" t="str">
        <x:v>AD.AUTH.03</x:v>
      </x:c>
      <x:c r="U23" s="107" t="str"/>
    </x:row>
    <x:row r="24">
      <x:c r="A24" s="104" t="str">
        <x:v>AD.AUTH.05</x:v>
      </x:c>
      <x:c r="B24" s="104" t="str">
        <x:v>Identidad y seguridad</x:v>
      </x:c>
      <x:c r="C24" s="104" t="str">
        <x:v>Implementar comportamiento 401/403 y pruebas negativas</x:v>
      </x:c>
      <x:c r="D24" s="104" t="str">
        <x:v>OBL</x:v>
      </x:c>
      <x:c r="E24" s="107" t="str">
        <x:v>Sí</x:v>
      </x:c>
      <x:c r="F24" s="104" t="str">
        <x:v>H2</x:v>
      </x:c>
      <x:c r="G24" s="107" t="str"/>
      <x:c r="H24" s="104" t="n">
        <x:v>3</x:v>
      </x:c>
      <x:c r="I24" s="107" t="n">
        <x:v>3</x:v>
      </x:c>
      <x:c r="J24" s="107"/>
      <x:c r="K24" s="104" t="n">
        <x:v>2</x:v>
      </x:c>
      <x:c r="L24" s="107"/>
      <x:c r="M24" s="107" t="str"/>
      <x:c r="N24" s="108" t="n">
        <x:v>0</x:v>
      </x:c>
      <x:c r="O24" s="107" t="str">
        <x:v>BACKLOG</x:v>
      </x:c>
      <x:c r="P24" s="109" t="n">
        <x:f>IF(AND(E24="Sí",O24="ACEPTADA"),K24,0)</x:f>
        <x:v>0</x:v>
      </x:c>
      <x:c r="Q24" s="109" t="n">
        <x:f>IF(E24="Sí",K24*N24,0)</x:f>
        <x:v>0</x:v>
      </x:c>
      <x:c r="R24" s="104" t="str">
        <x:v>401 se usa para no autenticado y 403 para autenticado sin permiso, con tests.</x:v>
      </x:c>
      <x:c r="S24" s="104" t="str">
        <x:v>Tests de seguridad</x:v>
      </x:c>
      <x:c r="T24" s="104" t="str">
        <x:v>AD.AUTH.03</x:v>
      </x:c>
      <x:c r="U24" s="107" t="str"/>
    </x:row>
    <x:row r="25">
      <x:c r="A25" s="104" t="str">
        <x:v>AD.AUTH.06</x:v>
      </x:c>
      <x:c r="B25" s="104" t="str">
        <x:v>Identidad y seguridad</x:v>
      </x:c>
      <x:c r="C25" s="104" t="str">
        <x:v>Aplicar autorización por roles/permisos en backend</x:v>
      </x:c>
      <x:c r="D25" s="104" t="str">
        <x:v>OBL</x:v>
      </x:c>
      <x:c r="E25" s="107" t="str">
        <x:v>Sí</x:v>
      </x:c>
      <x:c r="F25" s="104" t="str">
        <x:v>H3</x:v>
      </x:c>
      <x:c r="G25" s="107" t="str"/>
      <x:c r="H25" s="104" t="n">
        <x:v>5</x:v>
      </x:c>
      <x:c r="I25" s="107" t="n">
        <x:v>5</x:v>
      </x:c>
      <x:c r="J25" s="107"/>
      <x:c r="K25" s="104" t="n">
        <x:v>3</x:v>
      </x:c>
      <x:c r="L25" s="107"/>
      <x:c r="M25" s="107" t="str"/>
      <x:c r="N25" s="108" t="n">
        <x:v>0</x:v>
      </x:c>
      <x:c r="O25" s="107" t="str">
        <x:v>BACKLOG</x:v>
      </x:c>
      <x:c r="P25" s="109" t="n">
        <x:f>IF(AND(E25="Sí",O25="ACEPTADA"),K25,0)</x:f>
        <x:v>0</x:v>
      </x:c>
      <x:c r="Q25" s="109" t="n">
        <x:f>IF(E25="Sí",K25*N25,0)</x:f>
        <x:v>0</x:v>
      </x:c>
      <x:c r="R25" s="104" t="str">
        <x:v>El backend bloquea acciones no autorizadas aunque la petición se construya manualmente.</x:v>
      </x:c>
      <x:c r="S25" s="104" t="str">
        <x:v>Matriz permisos + tests</x:v>
      </x:c>
      <x:c r="T25" s="104" t="str">
        <x:v>AD.SPACE.05</x:v>
      </x:c>
      <x:c r="U25" s="107" t="str"/>
    </x:row>
    <x:row r="26">
      <x:c r="A26" s="104" t="str">
        <x:v>AD.SPACE.01</x:v>
      </x:c>
      <x:c r="B26" s="104" t="str">
        <x:v>Espacios y membresía</x:v>
      </x:c>
      <x:c r="C26" s="104" t="str">
        <x:v>Modelar organizaciones/espacios y endpoints mínimos de alta/listado</x:v>
      </x:c>
      <x:c r="D26" s="104" t="str">
        <x:v>OBL</x:v>
      </x:c>
      <x:c r="E26" s="107" t="str">
        <x:v>Sí</x:v>
      </x:c>
      <x:c r="F26" s="104" t="str">
        <x:v>H2</x:v>
      </x:c>
      <x:c r="G26" s="107" t="str"/>
      <x:c r="H26" s="104" t="n">
        <x:v>4</x:v>
      </x:c>
      <x:c r="I26" s="107" t="n">
        <x:v>4</x:v>
      </x:c>
      <x:c r="J26" s="107"/>
      <x:c r="K26" s="104" t="n">
        <x:v>2</x:v>
      </x:c>
      <x:c r="L26" s="107"/>
      <x:c r="M26" s="107" t="str"/>
      <x:c r="N26" s="108" t="n">
        <x:v>0</x:v>
      </x:c>
      <x:c r="O26" s="107" t="str">
        <x:v>BACKLOG</x:v>
      </x:c>
      <x:c r="P26" s="109" t="n">
        <x:f>IF(AND(E26="Sí",O26="ACEPTADA"),K26,0)</x:f>
        <x:v>0</x:v>
      </x:c>
      <x:c r="Q26" s="109" t="n">
        <x:f>IF(E26="Sí",K26*N26,0)</x:f>
        <x:v>0</x:v>
      </x:c>
      <x:c r="R26" s="104" t="str">
        <x:v>Un usuario puede crear/listar espacios según el contrato y los datos persisten.</x:v>
      </x:c>
      <x:c r="S26" s="104" t="str">
        <x:v>Tests + API</x:v>
      </x:c>
      <x:c r="T26" s="104" t="str">
        <x:v>AD.API.01</x:v>
      </x:c>
      <x:c r="U26" s="107" t="str"/>
    </x:row>
    <x:row r="27">
      <x:c r="A27" s="104" t="str">
        <x:v>AD.SPACE.02</x:v>
      </x:c>
      <x:c r="B27" s="104" t="str">
        <x:v>Espacios y membresía</x:v>
      </x:c>
      <x:c r="C27" s="104" t="str">
        <x:v>Modelar membresía usuario-espacio</x:v>
      </x:c>
      <x:c r="D27" s="104" t="str">
        <x:v>OBL</x:v>
      </x:c>
      <x:c r="E27" s="107" t="str">
        <x:v>Sí</x:v>
      </x:c>
      <x:c r="F27" s="104" t="str">
        <x:v>H2</x:v>
      </x:c>
      <x:c r="G27" s="107" t="str"/>
      <x:c r="H27" s="104" t="n">
        <x:v>3</x:v>
      </x:c>
      <x:c r="I27" s="107" t="n">
        <x:v>3</x:v>
      </x:c>
      <x:c r="J27" s="107"/>
      <x:c r="K27" s="104" t="n">
        <x:v>2</x:v>
      </x:c>
      <x:c r="L27" s="107"/>
      <x:c r="M27" s="107" t="str"/>
      <x:c r="N27" s="108" t="n">
        <x:v>0</x:v>
      </x:c>
      <x:c r="O27" s="107" t="str">
        <x:v>BACKLOG</x:v>
      </x:c>
      <x:c r="P27" s="109" t="n">
        <x:f>IF(AND(E27="Sí",O27="ACEPTADA"),K27,0)</x:f>
        <x:v>0</x:v>
      </x:c>
      <x:c r="Q27" s="109" t="n">
        <x:f>IF(E27="Sí",K27*N27,0)</x:f>
        <x:v>0</x:v>
      </x:c>
      <x:c r="R27" s="104" t="str">
        <x:v>La pertenencia es persistente, consultable y no duplica identidades.</x:v>
      </x:c>
      <x:c r="S27" s="104" t="str">
        <x:v>Modelo + tests</x:v>
      </x:c>
      <x:c r="T27" s="104" t="str">
        <x:v>AD.SPACE.01; AD.AUTH.01</x:v>
      </x:c>
      <x:c r="U27" s="107" t="str"/>
    </x:row>
    <x:row r="28">
      <x:c r="A28" s="104" t="str">
        <x:v>AD.SPACE.03</x:v>
      </x:c>
      <x:c r="B28" s="104" t="str">
        <x:v>Espacios y membresía</x:v>
      </x:c>
      <x:c r="C28" s="104" t="str">
        <x:v>Implementar alta y baja controlada de miembros</x:v>
      </x:c>
      <x:c r="D28" s="104" t="str">
        <x:v>OBL</x:v>
      </x:c>
      <x:c r="E28" s="107" t="str">
        <x:v>Sí</x:v>
      </x:c>
      <x:c r="F28" s="104" t="str">
        <x:v>H3</x:v>
      </x:c>
      <x:c r="G28" s="107" t="str"/>
      <x:c r="H28" s="104" t="n">
        <x:v>4</x:v>
      </x:c>
      <x:c r="I28" s="107" t="n">
        <x:v>4</x:v>
      </x:c>
      <x:c r="J28" s="107"/>
      <x:c r="K28" s="104" t="n">
        <x:v>2</x:v>
      </x:c>
      <x:c r="L28" s="107"/>
      <x:c r="M28" s="107" t="str"/>
      <x:c r="N28" s="108" t="n">
        <x:v>0</x:v>
      </x:c>
      <x:c r="O28" s="107" t="str">
        <x:v>BACKLOG</x:v>
      </x:c>
      <x:c r="P28" s="109" t="n">
        <x:f>IF(AND(E28="Sí",O28="ACEPTADA"),K28,0)</x:f>
        <x:v>0</x:v>
      </x:c>
      <x:c r="Q28" s="109" t="n">
        <x:f>IF(E28="Sí",K28*N28,0)</x:f>
        <x:v>0</x:v>
      </x:c>
      <x:c r="R28" s="104" t="str">
        <x:v>Solo un rol autorizado modifica miembros y la baja revoca acceso futuro.</x:v>
      </x:c>
      <x:c r="S28" s="104" t="str">
        <x:v>Tests permisos</x:v>
      </x:c>
      <x:c r="T28" s="104" t="str">
        <x:v>AD.SPACE.02</x:v>
      </x:c>
      <x:c r="U28" s="107" t="str"/>
    </x:row>
    <x:row r="29">
      <x:c r="A29" s="104" t="str">
        <x:v>AD.SPACE.04</x:v>
      </x:c>
      <x:c r="B29" s="104" t="str">
        <x:v>Espacios y membresía</x:v>
      </x:c>
      <x:c r="C29" s="104" t="str">
        <x:v>Aplicar aislamiento de recursos por espacio activo</x:v>
      </x:c>
      <x:c r="D29" s="104" t="str">
        <x:v>OBL</x:v>
      </x:c>
      <x:c r="E29" s="107" t="str">
        <x:v>Sí</x:v>
      </x:c>
      <x:c r="F29" s="104" t="str">
        <x:v>H3</x:v>
      </x:c>
      <x:c r="G29" s="107" t="str"/>
      <x:c r="H29" s="104" t="n">
        <x:v>4</x:v>
      </x:c>
      <x:c r="I29" s="107" t="n">
        <x:v>4</x:v>
      </x:c>
      <x:c r="J29" s="107"/>
      <x:c r="K29" s="104" t="n">
        <x:v>2</x:v>
      </x:c>
      <x:c r="L29" s="107"/>
      <x:c r="M29" s="107" t="str"/>
      <x:c r="N29" s="108" t="n">
        <x:v>0</x:v>
      </x:c>
      <x:c r="O29" s="107" t="str">
        <x:v>BACKLOG</x:v>
      </x:c>
      <x:c r="P29" s="109" t="n">
        <x:f>IF(AND(E29="Sí",O29="ACEPTADA"),K29,0)</x:f>
        <x:v>0</x:v>
      </x:c>
      <x:c r="Q29" s="109" t="n">
        <x:f>IF(E29="Sí",K29*N29,0)</x:f>
        <x:v>0</x:v>
      </x:c>
      <x:c r="R29" s="104" t="str">
        <x:v>Una prueba demuestra que un usuario de A no puede leer datos de B.</x:v>
      </x:c>
      <x:c r="S29" s="104" t="str">
        <x:v>Test de aislamiento</x:v>
      </x:c>
      <x:c r="T29" s="104" t="str">
        <x:v>AD.SPACE.02</x:v>
      </x:c>
      <x:c r="U29" s="107" t="str"/>
    </x:row>
    <x:row r="30">
      <x:c r="A30" s="104" t="str">
        <x:v>AD.SPACE.05</x:v>
      </x:c>
      <x:c r="B30" s="104" t="str">
        <x:v>Espacios y membresía</x:v>
      </x:c>
      <x:c r="C30" s="104" t="str">
        <x:v>Definir al menos tres roles y matriz de permisos</x:v>
      </x:c>
      <x:c r="D30" s="104" t="str">
        <x:v>OBL</x:v>
      </x:c>
      <x:c r="E30" s="107" t="str">
        <x:v>Sí</x:v>
      </x:c>
      <x:c r="F30" s="104" t="str">
        <x:v>H2</x:v>
      </x:c>
      <x:c r="G30" s="107" t="str"/>
      <x:c r="H30" s="104" t="n">
        <x:v>3</x:v>
      </x:c>
      <x:c r="I30" s="107" t="n">
        <x:v>3</x:v>
      </x:c>
      <x:c r="J30" s="107"/>
      <x:c r="K30" s="104" t="n">
        <x:v>1</x:v>
      </x:c>
      <x:c r="L30" s="107"/>
      <x:c r="M30" s="107" t="str"/>
      <x:c r="N30" s="108" t="n">
        <x:v>0</x:v>
      </x:c>
      <x:c r="O30" s="107" t="str">
        <x:v>BACKLOG</x:v>
      </x:c>
      <x:c r="P30" s="109" t="n">
        <x:f>IF(AND(E30="Sí",O30="ACEPTADA"),K30,0)</x:f>
        <x:v>0</x:v>
      </x:c>
      <x:c r="Q30" s="109" t="n">
        <x:f>IF(E30="Sí",K30*N30,0)</x:f>
        <x:v>0</x:v>
      </x:c>
      <x:c r="R30" s="104" t="str">
        <x:v>Cada rol tiene acciones permitidas/prohibidas explícitas.</x:v>
      </x:c>
      <x:c r="S30" s="104" t="str">
        <x:v>Matriz de permisos</x:v>
      </x:c>
      <x:c r="T30" s="104" t="str">
        <x:v>Contrato funcional</x:v>
      </x:c>
      <x:c r="U30" s="107" t="str"/>
    </x:row>
    <x:row r="31">
      <x:c r="A31" s="104" t="str">
        <x:v>AD.SPACE.06</x:v>
      </x:c>
      <x:c r="B31" s="104" t="str">
        <x:v>Espacios y membresía</x:v>
      </x:c>
      <x:c r="C31" s="104" t="str">
        <x:v>Automatizar pruebas negativas de permisos y cruce entre espacios</x:v>
      </x:c>
      <x:c r="D31" s="104" t="str">
        <x:v>OBL</x:v>
      </x:c>
      <x:c r="E31" s="107" t="str">
        <x:v>Sí</x:v>
      </x:c>
      <x:c r="F31" s="104" t="str">
        <x:v>H3</x:v>
      </x:c>
      <x:c r="G31" s="107" t="str"/>
      <x:c r="H31" s="104" t="n">
        <x:v>4</x:v>
      </x:c>
      <x:c r="I31" s="107" t="n">
        <x:v>4</x:v>
      </x:c>
      <x:c r="J31" s="107"/>
      <x:c r="K31" s="104" t="n">
        <x:v>3</x:v>
      </x:c>
      <x:c r="L31" s="107"/>
      <x:c r="M31" s="107" t="str"/>
      <x:c r="N31" s="108" t="n">
        <x:v>0</x:v>
      </x:c>
      <x:c r="O31" s="107" t="str">
        <x:v>BACKLOG</x:v>
      </x:c>
      <x:c r="P31" s="109" t="n">
        <x:f>IF(AND(E31="Sí",O31="ACEPTADA"),K31,0)</x:f>
        <x:v>0</x:v>
      </x:c>
      <x:c r="Q31" s="109" t="n">
        <x:f>IF(E31="Sí",K31*N31,0)</x:f>
        <x:v>0</x:v>
      </x:c>
      <x:c r="R31" s="104" t="str">
        <x:v>Los principales recursos tienen al menos un caso de acceso denegado.</x:v>
      </x:c>
      <x:c r="S31" s="104" t="str">
        <x:v>Suite tests</x:v>
      </x:c>
      <x:c r="T31" s="104" t="str">
        <x:v>AD.SPACE.04; AD.AUTH.06</x:v>
      </x:c>
      <x:c r="U31" s="107" t="str"/>
    </x:row>
    <x:row r="32">
      <x:c r="A32" s="104" t="str">
        <x:v>AD.KAN.01</x:v>
      </x:c>
      <x:c r="B32" s="104" t="str">
        <x:v>Kanban compartido</x:v>
      </x:c>
      <x:c r="C32" s="104" t="str">
        <x:v>Modelar tablero asociado a un espacio de trabajo</x:v>
      </x:c>
      <x:c r="D32" s="104" t="str">
        <x:v>OBL</x:v>
      </x:c>
      <x:c r="E32" s="107" t="str">
        <x:v>Sí</x:v>
      </x:c>
      <x:c r="F32" s="104" t="str">
        <x:v>H2</x:v>
      </x:c>
      <x:c r="G32" s="107" t="str"/>
      <x:c r="H32" s="104" t="n">
        <x:v>3</x:v>
      </x:c>
      <x:c r="I32" s="107" t="n">
        <x:v>3</x:v>
      </x:c>
      <x:c r="J32" s="107"/>
      <x:c r="K32" s="104" t="n">
        <x:v>2</x:v>
      </x:c>
      <x:c r="L32" s="107"/>
      <x:c r="M32" s="107" t="str"/>
      <x:c r="N32" s="108" t="n">
        <x:v>0</x:v>
      </x:c>
      <x:c r="O32" s="107" t="str">
        <x:v>BACKLOG</x:v>
      </x:c>
      <x:c r="P32" s="109" t="n">
        <x:f>IF(AND(E32="Sí",O32="ACEPTADA"),K32,0)</x:f>
        <x:v>0</x:v>
      </x:c>
      <x:c r="Q32" s="109" t="n">
        <x:f>IF(E32="Sí",K32*N32,0)</x:f>
        <x:v>0</x:v>
      </x:c>
      <x:c r="R32" s="104" t="str">
        <x:v>El tablero pertenece a un espacio y se consulta solo con permiso.</x:v>
      </x:c>
      <x:c r="S32" s="104" t="str">
        <x:v>Modelo + API</x:v>
      </x:c>
      <x:c r="T32" s="104" t="str">
        <x:v>AD.SPACE.01</x:v>
      </x:c>
      <x:c r="U32" s="107" t="str"/>
    </x:row>
    <x:row r="33">
      <x:c r="A33" s="104" t="str">
        <x:v>AD.KAN.02</x:v>
      </x:c>
      <x:c r="B33" s="104" t="str">
        <x:v>Kanban compartido</x:v>
      </x:c>
      <x:c r="C33" s="104" t="str">
        <x:v>Implementar columnas con orden persistente</x:v>
      </x:c>
      <x:c r="D33" s="104" t="str">
        <x:v>OBL</x:v>
      </x:c>
      <x:c r="E33" s="107" t="str">
        <x:v>Sí</x:v>
      </x:c>
      <x:c r="F33" s="104" t="str">
        <x:v>H2</x:v>
      </x:c>
      <x:c r="G33" s="107" t="str"/>
      <x:c r="H33" s="104" t="n">
        <x:v>4</x:v>
      </x:c>
      <x:c r="I33" s="107" t="n">
        <x:v>4</x:v>
      </x:c>
      <x:c r="J33" s="107"/>
      <x:c r="K33" s="104" t="n">
        <x:v>2</x:v>
      </x:c>
      <x:c r="L33" s="107"/>
      <x:c r="M33" s="107" t="str"/>
      <x:c r="N33" s="108" t="n">
        <x:v>0</x:v>
      </x:c>
      <x:c r="O33" s="107" t="str">
        <x:v>BACKLOG</x:v>
      </x:c>
      <x:c r="P33" s="109" t="n">
        <x:f>IF(AND(E33="Sí",O33="ACEPTADA"),K33,0)</x:f>
        <x:v>0</x:v>
      </x:c>
      <x:c r="Q33" s="109" t="n">
        <x:f>IF(E33="Sí",K33*N33,0)</x:f>
        <x:v>0</x:v>
      </x:c>
      <x:c r="R33" s="104" t="str">
        <x:v>Crear/editar/reordenar columnas produce orden determinista tras reinicio.</x:v>
      </x:c>
      <x:c r="S33" s="104" t="str">
        <x:v>Tests CRUD/orden</x:v>
      </x:c>
      <x:c r="T33" s="104" t="str">
        <x:v>AD.KAN.01</x:v>
      </x:c>
      <x:c r="U33" s="107" t="str"/>
    </x:row>
    <x:row r="34">
      <x:c r="A34" s="104" t="str">
        <x:v>AD.KAN.03</x:v>
      </x:c>
      <x:c r="B34" s="104" t="str">
        <x:v>Kanban compartido</x:v>
      </x:c>
      <x:c r="C34" s="104" t="str">
        <x:v>Implementar CRUD de tarjetas</x:v>
      </x:c>
      <x:c r="D34" s="104" t="str">
        <x:v>OBL</x:v>
      </x:c>
      <x:c r="E34" s="107" t="str">
        <x:v>Sí</x:v>
      </x:c>
      <x:c r="F34" s="104" t="str">
        <x:v>H2</x:v>
      </x:c>
      <x:c r="G34" s="107" t="str"/>
      <x:c r="H34" s="104" t="n">
        <x:v>5</x:v>
      </x:c>
      <x:c r="I34" s="107" t="n">
        <x:v>5</x:v>
      </x:c>
      <x:c r="J34" s="107"/>
      <x:c r="K34" s="104" t="n">
        <x:v>3</x:v>
      </x:c>
      <x:c r="L34" s="107"/>
      <x:c r="M34" s="107" t="str"/>
      <x:c r="N34" s="108" t="n">
        <x:v>0</x:v>
      </x:c>
      <x:c r="O34" s="107" t="str">
        <x:v>BACKLOG</x:v>
      </x:c>
      <x:c r="P34" s="109" t="n">
        <x:f>IF(AND(E34="Sí",O34="ACEPTADA"),K34,0)</x:f>
        <x:v>0</x:v>
      </x:c>
      <x:c r="Q34" s="109" t="n">
        <x:f>IF(E34="Sí",K34*N34,0)</x:f>
        <x:v>0</x:v>
      </x:c>
      <x:c r="R34" s="104" t="str">
        <x:v>Crear, consultar, editar y eliminar/archivar respeta reglas y permisos.</x:v>
      </x:c>
      <x:c r="S34" s="104" t="str">
        <x:v>Tests CRUD</x:v>
      </x:c>
      <x:c r="T34" s="104" t="str">
        <x:v>AD.KAN.02</x:v>
      </x:c>
      <x:c r="U34" s="107" t="str"/>
    </x:row>
    <x:row r="35">
      <x:c r="A35" s="104" t="str">
        <x:v>AD.KAN.04</x:v>
      </x:c>
      <x:c r="B35" s="104" t="str">
        <x:v>Kanban compartido</x:v>
      </x:c>
      <x:c r="C35" s="104" t="str">
        <x:v>Conservar etiquetas y checklists heredadas o equivalentes</x:v>
      </x:c>
      <x:c r="D35" s="104" t="str">
        <x:v>OBL</x:v>
      </x:c>
      <x:c r="E35" s="107" t="str">
        <x:v>Sí</x:v>
      </x:c>
      <x:c r="F35" s="104" t="str">
        <x:v>H3</x:v>
      </x:c>
      <x:c r="G35" s="107" t="str"/>
      <x:c r="H35" s="104" t="n">
        <x:v>4</x:v>
      </x:c>
      <x:c r="I35" s="107" t="n">
        <x:v>4</x:v>
      </x:c>
      <x:c r="J35" s="107"/>
      <x:c r="K35" s="104" t="n">
        <x:v>2</x:v>
      </x:c>
      <x:c r="L35" s="107"/>
      <x:c r="M35" s="107" t="str"/>
      <x:c r="N35" s="108" t="n">
        <x:v>0</x:v>
      </x:c>
      <x:c r="O35" s="107" t="str">
        <x:v>BACKLOG</x:v>
      </x:c>
      <x:c r="P35" s="109" t="n">
        <x:f>IF(AND(E35="Sí",O35="ACEPTADA"),K35,0)</x:f>
        <x:v>0</x:v>
      </x:c>
      <x:c r="Q35" s="109" t="n">
        <x:f>IF(E35="Sí",K35*N35,0)</x:f>
        <x:v>0</x:v>
      </x:c>
      <x:c r="R35" s="104" t="str">
        <x:v>Las tarjetas admiten etiquetas/checklists y son migrables desde 1.0.</x:v>
      </x:c>
      <x:c r="S35" s="104" t="str">
        <x:v>Tests + migración</x:v>
      </x:c>
      <x:c r="T35" s="104" t="str">
        <x:v>AD.KAN.03; AD.MIG.01</x:v>
      </x:c>
      <x:c r="U35" s="107" t="str"/>
    </x:row>
    <x:row r="36">
      <x:c r="A36" s="104" t="str">
        <x:v>AD.KAN.05</x:v>
      </x:c>
      <x:c r="B36" s="104" t="str">
        <x:v>Kanban compartido</x:v>
      </x:c>
      <x:c r="C36" s="104" t="str">
        <x:v>Mover tarjeta entre columnas y persistir posición</x:v>
      </x:c>
      <x:c r="D36" s="104" t="str">
        <x:v>OBL</x:v>
      </x:c>
      <x:c r="E36" s="107" t="str">
        <x:v>Sí</x:v>
      </x:c>
      <x:c r="F36" s="104" t="str">
        <x:v>H3</x:v>
      </x:c>
      <x:c r="G36" s="107" t="str"/>
      <x:c r="H36" s="104" t="n">
        <x:v>5</x:v>
      </x:c>
      <x:c r="I36" s="107" t="n">
        <x:v>5</x:v>
      </x:c>
      <x:c r="J36" s="107"/>
      <x:c r="K36" s="104" t="n">
        <x:v>3</x:v>
      </x:c>
      <x:c r="L36" s="107"/>
      <x:c r="M36" s="107" t="str"/>
      <x:c r="N36" s="108" t="n">
        <x:v>0</x:v>
      </x:c>
      <x:c r="O36" s="107" t="str">
        <x:v>BACKLOG</x:v>
      </x:c>
      <x:c r="P36" s="109" t="n">
        <x:f>IF(AND(E36="Sí",O36="ACEPTADA"),K36,0)</x:f>
        <x:v>0</x:v>
      </x:c>
      <x:c r="Q36" s="109" t="n">
        <x:f>IF(E36="Sí",K36*N36,0)</x:f>
        <x:v>0</x:v>
      </x:c>
      <x:c r="R36" s="104" t="str">
        <x:v>El movimiento persiste, valida destino y mantiene orden coherente.</x:v>
      </x:c>
      <x:c r="S36" s="104" t="str">
        <x:v>Tests movimiento</x:v>
      </x:c>
      <x:c r="T36" s="104" t="str">
        <x:v>AD.KAN.02; AD.KAN.03</x:v>
      </x:c>
      <x:c r="U36" s="107" t="str"/>
    </x:row>
    <x:row r="37">
      <x:c r="A37" s="104" t="str">
        <x:v>AD.KAN.06</x:v>
      </x:c>
      <x:c r="B37" s="104" t="str">
        <x:v>Kanban compartido</x:v>
      </x:c>
      <x:c r="C37" s="104" t="str">
        <x:v>Permitir acceso compartido multiusuario al mismo tablero</x:v>
      </x:c>
      <x:c r="D37" s="104" t="str">
        <x:v>OBL</x:v>
      </x:c>
      <x:c r="E37" s="107" t="str">
        <x:v>Sí</x:v>
      </x:c>
      <x:c r="F37" s="104" t="str">
        <x:v>H3</x:v>
      </x:c>
      <x:c r="G37" s="107" t="str"/>
      <x:c r="H37" s="104" t="n">
        <x:v>4</x:v>
      </x:c>
      <x:c r="I37" s="107" t="n">
        <x:v>4</x:v>
      </x:c>
      <x:c r="J37" s="107"/>
      <x:c r="K37" s="104" t="n">
        <x:v>2</x:v>
      </x:c>
      <x:c r="L37" s="107"/>
      <x:c r="M37" s="107" t="str"/>
      <x:c r="N37" s="108" t="n">
        <x:v>0</x:v>
      </x:c>
      <x:c r="O37" s="107" t="str">
        <x:v>BACKLOG</x:v>
      </x:c>
      <x:c r="P37" s="109" t="n">
        <x:f>IF(AND(E37="Sí",O37="ACEPTADA"),K37,0)</x:f>
        <x:v>0</x:v>
      </x:c>
      <x:c r="Q37" s="109" t="n">
        <x:f>IF(E37="Sí",K37*N37,0)</x:f>
        <x:v>0</x:v>
      </x:c>
      <x:c r="R37" s="104" t="str">
        <x:v>Dos usuarios autorizados leen/modifican el mismo tablero y ven cambios persistidos.</x:v>
      </x:c>
      <x:c r="S37" s="104" t="str">
        <x:v>Demo 2 usuarios + tests</x:v>
      </x:c>
      <x:c r="T37" s="104" t="str">
        <x:v>AD.SPACE.04; AD.KAN.03</x:v>
      </x:c>
      <x:c r="U37" s="107" t="str"/>
    </x:row>
    <x:row r="38">
      <x:c r="A38" s="104" t="str">
        <x:v>AD.KAN.07</x:v>
      </x:c>
      <x:c r="B38" s="104" t="str">
        <x:v>Kanban compartido</x:v>
      </x:c>
      <x:c r="C38" s="104" t="str">
        <x:v>Definir estrategia básica ante actualizaciones concurrentes</x:v>
      </x:c>
      <x:c r="D38" s="104" t="str">
        <x:v>OBL</x:v>
      </x:c>
      <x:c r="E38" s="107" t="str">
        <x:v>Sí</x:v>
      </x:c>
      <x:c r="F38" s="104" t="str">
        <x:v>H3</x:v>
      </x:c>
      <x:c r="G38" s="107" t="str"/>
      <x:c r="H38" s="104" t="n">
        <x:v>4</x:v>
      </x:c>
      <x:c r="I38" s="107" t="n">
        <x:v>4</x:v>
      </x:c>
      <x:c r="J38" s="107"/>
      <x:c r="K38" s="104" t="n">
        <x:v>2</x:v>
      </x:c>
      <x:c r="L38" s="107"/>
      <x:c r="M38" s="107" t="str"/>
      <x:c r="N38" s="108" t="n">
        <x:v>0</x:v>
      </x:c>
      <x:c r="O38" s="107" t="str">
        <x:v>BACKLOG</x:v>
      </x:c>
      <x:c r="P38" s="109" t="n">
        <x:f>IF(AND(E38="Sí",O38="ACEPTADA"),K38,0)</x:f>
        <x:v>0</x:v>
      </x:c>
      <x:c r="Q38" s="109" t="n">
        <x:f>IF(E38="Sí",K38*N38,0)</x:f>
        <x:v>0</x:v>
      </x:c>
      <x:c r="R38" s="104" t="str">
        <x:v>Existe regla documentada de conflicto y un caso concurrente reproducible.</x:v>
      </x:c>
      <x:c r="S38" s="104" t="str">
        <x:v>ADR + test</x:v>
      </x:c>
      <x:c r="T38" s="104" t="str">
        <x:v>AD.KAN.05</x:v>
      </x:c>
      <x:c r="U38" s="107" t="str"/>
    </x:row>
    <x:row r="39">
      <x:c r="A39" s="104" t="str">
        <x:v>AD.KAN.08</x:v>
      </x:c>
      <x:c r="B39" s="104" t="str">
        <x:v>Kanban compartido</x:v>
      </x:c>
      <x:c r="C39" s="104" t="str">
        <x:v>Crear pruebas de integración del vertical tablero→tarjeta→movimiento</x:v>
      </x:c>
      <x:c r="D39" s="104" t="str">
        <x:v>OBL</x:v>
      </x:c>
      <x:c r="E39" s="107" t="str">
        <x:v>Sí</x:v>
      </x:c>
      <x:c r="F39" s="104" t="str">
        <x:v>H3</x:v>
      </x:c>
      <x:c r="G39" s="107" t="str"/>
      <x:c r="H39" s="104" t="n">
        <x:v>4</x:v>
      </x:c>
      <x:c r="I39" s="107" t="n">
        <x:v>4</x:v>
      </x:c>
      <x:c r="J39" s="107"/>
      <x:c r="K39" s="104" t="n">
        <x:v>2</x:v>
      </x:c>
      <x:c r="L39" s="107"/>
      <x:c r="M39" s="107" t="str"/>
      <x:c r="N39" s="108" t="n">
        <x:v>0</x:v>
      </x:c>
      <x:c r="O39" s="107" t="str">
        <x:v>BACKLOG</x:v>
      </x:c>
      <x:c r="P39" s="109" t="n">
        <x:f>IF(AND(E39="Sí",O39="ACEPTADA"),K39,0)</x:f>
        <x:v>0</x:v>
      </x:c>
      <x:c r="Q39" s="109" t="n">
        <x:f>IF(E39="Sí",K39*N39,0)</x:f>
        <x:v>0</x:v>
      </x:c>
      <x:c r="R39" s="104" t="str">
        <x:v>El vertical completo se prueba sobre persistencia real/fixture reproducible.</x:v>
      </x:c>
      <x:c r="S39" s="104" t="str">
        <x:v>Tests integración</x:v>
      </x:c>
      <x:c r="T39" s="104" t="str">
        <x:v>AD.KAN.01..07</x:v>
      </x:c>
      <x:c r="U39" s="107" t="str"/>
    </x:row>
    <x:row r="40">
      <x:c r="A40" s="104" t="str">
        <x:v>AD.MIG.01</x:v>
      </x:c>
      <x:c r="B40" s="104" t="str">
        <x:v>Migración 1.0→2.0</x:v>
      </x:c>
      <x:c r="C40" s="104" t="str">
        <x:v>Definir mapeo de datos heredados al modelo 2.0</x:v>
      </x:c>
      <x:c r="D40" s="104" t="str">
        <x:v>OBL</x:v>
      </x:c>
      <x:c r="E40" s="107" t="str">
        <x:v>Sí</x:v>
      </x:c>
      <x:c r="F40" s="104" t="str">
        <x:v>H1</x:v>
      </x:c>
      <x:c r="G40" s="107" t="str"/>
      <x:c r="H40" s="104" t="n">
        <x:v>4</x:v>
      </x:c>
      <x:c r="I40" s="107" t="n">
        <x:v>4</x:v>
      </x:c>
      <x:c r="J40" s="107"/>
      <x:c r="K40" s="104" t="n">
        <x:v>2</x:v>
      </x:c>
      <x:c r="L40" s="107"/>
      <x:c r="M40" s="107" t="str"/>
      <x:c r="N40" s="108" t="n">
        <x:v>0</x:v>
      </x:c>
      <x:c r="O40" s="107" t="str">
        <x:v>BACKLOG</x:v>
      </x:c>
      <x:c r="P40" s="109" t="n">
        <x:f>IF(AND(E40="Sí",O40="ACEPTADA"),K40,0)</x:f>
        <x:v>0</x:v>
      </x:c>
      <x:c r="Q40" s="109" t="n">
        <x:f>IF(E40="Sí",K40*N40,0)</x:f>
        <x:v>0</x:v>
      </x:c>
      <x:c r="R40" s="104" t="str">
        <x:v>Tableros, columnas, tarjetas, etiquetas y checklists tienen destino explícito.</x:v>
      </x:c>
      <x:c r="S40" s="104" t="str">
        <x:v>Documento mapeo</x:v>
      </x:c>
      <x:c r="T40" s="104" t="str">
        <x:v>G0; modelo 2.0</x:v>
      </x:c>
      <x:c r="U40" s="107" t="str"/>
    </x:row>
    <x:row r="41">
      <x:c r="A41" s="104" t="str">
        <x:v>AD.MIG.02</x:v>
      </x:c>
      <x:c r="B41" s="104" t="str">
        <x:v>Migración 1.0→2.0</x:v>
      </x:c>
      <x:c r="C41" s="104" t="str">
        <x:v>Preparar fixture controlada de AulaFlow 1.0</x:v>
      </x:c>
      <x:c r="D41" s="104" t="str">
        <x:v>OBL</x:v>
      </x:c>
      <x:c r="E41" s="107" t="str">
        <x:v>Sí</x:v>
      </x:c>
      <x:c r="F41" s="104" t="str">
        <x:v>H1</x:v>
      </x:c>
      <x:c r="G41" s="107" t="str"/>
      <x:c r="H41" s="104" t="n">
        <x:v>2</x:v>
      </x:c>
      <x:c r="I41" s="107" t="n">
        <x:v>2</x:v>
      </x:c>
      <x:c r="J41" s="107"/>
      <x:c r="K41" s="104" t="n">
        <x:v>1</x:v>
      </x:c>
      <x:c r="L41" s="107"/>
      <x:c r="M41" s="107" t="str"/>
      <x:c r="N41" s="108" t="n">
        <x:v>0</x:v>
      </x:c>
      <x:c r="O41" s="107" t="str">
        <x:v>BACKLOG</x:v>
      </x:c>
      <x:c r="P41" s="109" t="n">
        <x:f>IF(AND(E41="Sí",O41="ACEPTADA"),K41,0)</x:f>
        <x:v>0</x:v>
      </x:c>
      <x:c r="Q41" s="109" t="n">
        <x:f>IF(E41="Sí",K41*N41,0)</x:f>
        <x:v>0</x:v>
      </x:c>
      <x:c r="R41" s="104" t="str">
        <x:v>La fixture contiene casos suficientes para validar la migración y es reproducible.</x:v>
      </x:c>
      <x:c r="S41" s="104" t="str">
        <x:v>Fixture versionada</x:v>
      </x:c>
      <x:c r="T41" s="104" t="str">
        <x:v>AulaFlow 1.0</x:v>
      </x:c>
      <x:c r="U41" s="107" t="str"/>
    </x:row>
    <x:row r="42">
      <x:c r="A42" s="104" t="str">
        <x:v>AD.MIG.03</x:v>
      </x:c>
      <x:c r="B42" s="104" t="str">
        <x:v>Migración 1.0→2.0</x:v>
      </x:c>
      <x:c r="C42" s="104" t="str">
        <x:v>Implementar herramienta/script de migración reproducible</x:v>
      </x:c>
      <x:c r="D42" s="104" t="str">
        <x:v>OBL</x:v>
      </x:c>
      <x:c r="E42" s="107" t="str">
        <x:v>Sí</x:v>
      </x:c>
      <x:c r="F42" s="104" t="str">
        <x:v>H3</x:v>
      </x:c>
      <x:c r="G42" s="107" t="str"/>
      <x:c r="H42" s="104" t="n">
        <x:v>6</x:v>
      </x:c>
      <x:c r="I42" s="107" t="n">
        <x:v>6</x:v>
      </x:c>
      <x:c r="J42" s="107"/>
      <x:c r="K42" s="104" t="n">
        <x:v>3</x:v>
      </x:c>
      <x:c r="L42" s="107"/>
      <x:c r="M42" s="107" t="str"/>
      <x:c r="N42" s="108" t="n">
        <x:v>0</x:v>
      </x:c>
      <x:c r="O42" s="107" t="str">
        <x:v>BACKLOG</x:v>
      </x:c>
      <x:c r="P42" s="109" t="n">
        <x:f>IF(AND(E42="Sí",O42="ACEPTADA"),K42,0)</x:f>
        <x:v>0</x:v>
      </x:c>
      <x:c r="Q42" s="109" t="n">
        <x:f>IF(E42="Sí",K42*N42,0)</x:f>
        <x:v>0</x:v>
      </x:c>
      <x:c r="R42" s="104" t="str">
        <x:v>La misma entrada produce resultados deterministas y errores visibles.</x:v>
      </x:c>
      <x:c r="S42" s="104" t="str">
        <x:v>Script + tests</x:v>
      </x:c>
      <x:c r="T42" s="104" t="str">
        <x:v>AD.MIG.01; AD.MIG.02</x:v>
      </x:c>
      <x:c r="U42" s="107" t="str"/>
    </x:row>
    <x:row r="43">
      <x:c r="A43" s="104" t="str">
        <x:v>AD.MIG.04</x:v>
      </x:c>
      <x:c r="B43" s="104" t="str">
        <x:v>Migración 1.0→2.0</x:v>
      </x:c>
      <x:c r="C43" s="104" t="str">
        <x:v>Migrar tableros, columnas, tarjetas, etiquetas y checklists</x:v>
      </x:c>
      <x:c r="D43" s="104" t="str">
        <x:v>OBL</x:v>
      </x:c>
      <x:c r="E43" s="107" t="str">
        <x:v>Sí</x:v>
      </x:c>
      <x:c r="F43" s="104" t="str">
        <x:v>H3</x:v>
      </x:c>
      <x:c r="G43" s="107" t="str"/>
      <x:c r="H43" s="104" t="n">
        <x:v>5</x:v>
      </x:c>
      <x:c r="I43" s="107" t="n">
        <x:v>5</x:v>
      </x:c>
      <x:c r="J43" s="107"/>
      <x:c r="K43" s="104" t="n">
        <x:v>2</x:v>
      </x:c>
      <x:c r="L43" s="107"/>
      <x:c r="M43" s="107" t="str"/>
      <x:c r="N43" s="108" t="n">
        <x:v>0</x:v>
      </x:c>
      <x:c r="O43" s="107" t="str">
        <x:v>BACKLOG</x:v>
      </x:c>
      <x:c r="P43" s="109" t="n">
        <x:f>IF(AND(E43="Sí",O43="ACEPTADA"),K43,0)</x:f>
        <x:v>0</x:v>
      </x:c>
      <x:c r="Q43" s="109" t="n">
        <x:f>IF(E43="Sí",K43*N43,0)</x:f>
        <x:v>0</x:v>
      </x:c>
      <x:c r="R43" s="104" t="str">
        <x:v>Los conteos y relaciones esperados coinciden tras migrar la fixture.</x:v>
      </x:c>
      <x:c r="S43" s="104" t="str">
        <x:v>Informe before/after</x:v>
      </x:c>
      <x:c r="T43" s="104" t="str">
        <x:v>AD.MIG.03; AD.KAN.04</x:v>
      </x:c>
      <x:c r="U43" s="107" t="str"/>
    </x:row>
    <x:row r="44">
      <x:c r="A44" s="104" t="str">
        <x:v>AD.MIG.05</x:v>
      </x:c>
      <x:c r="B44" s="104" t="str">
        <x:v>Migración 1.0→2.0</x:v>
      </x:c>
      <x:c r="C44" s="104" t="str">
        <x:v>Generar informe de integridad y controlar fallos de migración</x:v>
      </x:c>
      <x:c r="D44" s="104" t="str">
        <x:v>OBL</x:v>
      </x:c>
      <x:c r="E44" s="107" t="str">
        <x:v>Sí</x:v>
      </x:c>
      <x:c r="F44" s="104" t="str">
        <x:v>H3</x:v>
      </x:c>
      <x:c r="G44" s="107" t="str"/>
      <x:c r="H44" s="104" t="n">
        <x:v>4</x:v>
      </x:c>
      <x:c r="I44" s="107" t="n">
        <x:v>4</x:v>
      </x:c>
      <x:c r="J44" s="107"/>
      <x:c r="K44" s="104" t="n">
        <x:v>2</x:v>
      </x:c>
      <x:c r="L44" s="107"/>
      <x:c r="M44" s="107" t="str"/>
      <x:c r="N44" s="108" t="n">
        <x:v>0</x:v>
      </x:c>
      <x:c r="O44" s="107" t="str">
        <x:v>BACKLOG</x:v>
      </x:c>
      <x:c r="P44" s="109" t="n">
        <x:f>IF(AND(E44="Sí",O44="ACEPTADA"),K44,0)</x:f>
        <x:v>0</x:v>
      </x:c>
      <x:c r="Q44" s="109" t="n">
        <x:f>IF(E44="Sí",K44*N44,0)</x:f>
        <x:v>0</x:v>
      </x:c>
      <x:c r="R44" s="104" t="str">
        <x:v>Un error no queda silencioso y el informe identifica importado/rechazado.</x:v>
      </x:c>
      <x:c r="S44" s="104" t="str">
        <x:v>Test de fallo + informe</x:v>
      </x:c>
      <x:c r="T44" s="104" t="str">
        <x:v>AD.MIG.03</x:v>
      </x:c>
      <x:c r="U44" s="107" t="str"/>
    </x:row>
    <x:row r="45">
      <x:c r="A45" s="104" t="str">
        <x:v>AD.QA.01</x:v>
      </x:c>
      <x:c r="B45" s="104" t="str">
        <x:v>Calidad backend</x:v>
      </x:c>
      <x:c r="C45" s="104" t="str">
        <x:v>Versionar esquema/migraciones de persistencia del servidor</x:v>
      </x:c>
      <x:c r="D45" s="104" t="str">
        <x:v>OBL</x:v>
      </x:c>
      <x:c r="E45" s="107" t="str">
        <x:v>Sí</x:v>
      </x:c>
      <x:c r="F45" s="104" t="str">
        <x:v>H2</x:v>
      </x:c>
      <x:c r="G45" s="107" t="str"/>
      <x:c r="H45" s="104" t="n">
        <x:v>4</x:v>
      </x:c>
      <x:c r="I45" s="107" t="n">
        <x:v>4</x:v>
      </x:c>
      <x:c r="J45" s="107"/>
      <x:c r="K45" s="104" t="n">
        <x:v>2</x:v>
      </x:c>
      <x:c r="L45" s="107"/>
      <x:c r="M45" s="107" t="str"/>
      <x:c r="N45" s="108" t="n">
        <x:v>0</x:v>
      </x:c>
      <x:c r="O45" s="107" t="str">
        <x:v>BACKLOG</x:v>
      </x:c>
      <x:c r="P45" s="109" t="n">
        <x:f>IF(AND(E45="Sí",O45="ACEPTADA"),K45,0)</x:f>
        <x:v>0</x:v>
      </x:c>
      <x:c r="Q45" s="109" t="n">
        <x:f>IF(E45="Sí",K45*N45,0)</x:f>
        <x:v>0</x:v>
      </x:c>
      <x:c r="R45" s="104" t="str">
        <x:v>El esquema se crea/evoluciona sin edición manual de la base de datos.</x:v>
      </x:c>
      <x:c r="S45" s="104" t="str">
        <x:v>Migraciones + test</x:v>
      </x:c>
      <x:c r="T45" s="104" t="str">
        <x:v>Persistencia elegida</x:v>
      </x:c>
      <x:c r="U45" s="107" t="str"/>
    </x:row>
    <x:row r="46">
      <x:c r="A46" s="104" t="str">
        <x:v>AD.QA.02</x:v>
      </x:c>
      <x:c r="B46" s="104" t="str">
        <x:v>Calidad backend</x:v>
      </x:c>
      <x:c r="C46" s="104" t="str">
        <x:v>Crear pruebas unitarias de lógica de dominio/servicios críticos</x:v>
      </x:c>
      <x:c r="D46" s="104" t="str">
        <x:v>OBL</x:v>
      </x:c>
      <x:c r="E46" s="107" t="str">
        <x:v>Sí</x:v>
      </x:c>
      <x:c r="F46" s="104" t="str">
        <x:v>H3</x:v>
      </x:c>
      <x:c r="G46" s="107" t="str"/>
      <x:c r="H46" s="104" t="n">
        <x:v>4</x:v>
      </x:c>
      <x:c r="I46" s="107" t="n">
        <x:v>4</x:v>
      </x:c>
      <x:c r="J46" s="107"/>
      <x:c r="K46" s="104" t="n">
        <x:v>2</x:v>
      </x:c>
      <x:c r="L46" s="107"/>
      <x:c r="M46" s="107" t="str"/>
      <x:c r="N46" s="108" t="n">
        <x:v>0</x:v>
      </x:c>
      <x:c r="O46" s="107" t="str">
        <x:v>BACKLOG</x:v>
      </x:c>
      <x:c r="P46" s="109" t="n">
        <x:f>IF(AND(E46="Sí",O46="ACEPTADA"),K46,0)</x:f>
        <x:v>0</x:v>
      </x:c>
      <x:c r="Q46" s="109" t="n">
        <x:f>IF(E46="Sí",K46*N46,0)</x:f>
        <x:v>0</x:v>
      </x:c>
      <x:c r="R46" s="104" t="str">
        <x:v>Casos normales y de error cubren reglas críticas sin depender de UI.</x:v>
      </x:c>
      <x:c r="S46" s="104" t="str">
        <x:v>Suite tests</x:v>
      </x:c>
      <x:c r="T46" s="104" t="str">
        <x:v>Servicios implementados</x:v>
      </x:c>
      <x:c r="U46" s="107" t="str"/>
    </x:row>
    <x:row r="47">
      <x:c r="A47" s="104" t="str">
        <x:v>AD.QA.03</x:v>
      </x:c>
      <x:c r="B47" s="104" t="str">
        <x:v>Calidad backend</x:v>
      </x:c>
      <x:c r="C47" s="104" t="str">
        <x:v>Configurar CI para build y tests del backend</x:v>
      </x:c>
      <x:c r="D47" s="104" t="str">
        <x:v>OBL</x:v>
      </x:c>
      <x:c r="E47" s="107" t="str">
        <x:v>Sí</x:v>
      </x:c>
      <x:c r="F47" s="104" t="str">
        <x:v>H3</x:v>
      </x:c>
      <x:c r="G47" s="107" t="str"/>
      <x:c r="H47" s="104" t="n">
        <x:v>4</x:v>
      </x:c>
      <x:c r="I47" s="107" t="n">
        <x:v>4</x:v>
      </x:c>
      <x:c r="J47" s="107"/>
      <x:c r="K47" s="104" t="n">
        <x:v>2</x:v>
      </x:c>
      <x:c r="L47" s="107"/>
      <x:c r="M47" s="107" t="str"/>
      <x:c r="N47" s="108" t="n">
        <x:v>0</x:v>
      </x:c>
      <x:c r="O47" s="107" t="str">
        <x:v>BACKLOG</x:v>
      </x:c>
      <x:c r="P47" s="109" t="n">
        <x:f>IF(AND(E47="Sí",O47="ACEPTADA"),K47,0)</x:f>
        <x:v>0</x:v>
      </x:c>
      <x:c r="Q47" s="109" t="n">
        <x:f>IF(E47="Sí",K47*N47,0)</x:f>
        <x:v>0</x:v>
      </x:c>
      <x:c r="R47" s="104" t="str">
        <x:v>Cada PR ejecuta build/tests y un fallo bloqueante queda visible.</x:v>
      </x:c>
      <x:c r="S47" s="104" t="str">
        <x:v>Workflow CI</x:v>
      </x:c>
      <x:c r="T47" s="104" t="str">
        <x:v>Repo GitHub</x:v>
      </x:c>
      <x:c r="U47" s="107" t="str"/>
    </x:row>
    <x:row r="48">
      <x:c r="A48" s="104" t="str">
        <x:v>AD.QA.04</x:v>
      </x:c>
      <x:c r="B48" s="104" t="str">
        <x:v>Calidad backend</x:v>
      </x:c>
      <x:c r="C48" s="104" t="str">
        <x:v>Revisar secretos y sanitización de logs</x:v>
      </x:c>
      <x:c r="D48" s="104" t="str">
        <x:v>OBL</x:v>
      </x:c>
      <x:c r="E48" s="107" t="str">
        <x:v>Sí</x:v>
      </x:c>
      <x:c r="F48" s="104" t="str">
        <x:v>H3</x:v>
      </x:c>
      <x:c r="G48" s="107" t="str"/>
      <x:c r="H48" s="104" t="n">
        <x:v>3</x:v>
      </x:c>
      <x:c r="I48" s="107" t="n">
        <x:v>3</x:v>
      </x:c>
      <x:c r="J48" s="107"/>
      <x:c r="K48" s="104" t="n">
        <x:v>2</x:v>
      </x:c>
      <x:c r="L48" s="107"/>
      <x:c r="M48" s="107" t="str"/>
      <x:c r="N48" s="108" t="n">
        <x:v>0</x:v>
      </x:c>
      <x:c r="O48" s="107" t="str">
        <x:v>BACKLOG</x:v>
      </x:c>
      <x:c r="P48" s="109" t="n">
        <x:f>IF(AND(E48="Sí",O48="ACEPTADA"),K48,0)</x:f>
        <x:v>0</x:v>
      </x:c>
      <x:c r="Q48" s="109" t="n">
        <x:f>IF(E48="Sí",K48*N48,0)</x:f>
        <x:v>0</x:v>
      </x:c>
      <x:c r="R48" s="104" t="str">
        <x:v>No aparecen contraseñas/tokens en repo ni logs de prueba.</x:v>
      </x:c>
      <x:c r="S48" s="104" t="str">
        <x:v>Checklist + prueba</x:v>
      </x:c>
      <x:c r="T48" s="104" t="str">
        <x:v>AD.AUTH.*</x:v>
      </x:c>
      <x:c r="U48" s="107" t="str"/>
    </x:row>
    <x:row r="49">
      <x:c r="A49" s="104" t="str">
        <x:v>AD.MEM.01</x:v>
      </x:c>
      <x:c r="B49" s="104" t="str">
        <x:v>Membresía avanzada</x:v>
      </x:c>
      <x:c r="C49" s="104" t="str">
        <x:v>Implementar invitaciones con estado pendiente/aceptada/revocada</x:v>
      </x:c>
      <x:c r="D49" s="104" t="str">
        <x:v>OPT</x:v>
      </x:c>
      <x:c r="E49" s="107" t="str">
        <x:v>No</x:v>
      </x:c>
      <x:c r="F49" s="104" t="str">
        <x:v>H3</x:v>
      </x:c>
      <x:c r="G49" s="107" t="str"/>
      <x:c r="H49" s="104" t="n">
        <x:v>5</x:v>
      </x:c>
      <x:c r="I49" s="107" t="n">
        <x:v>5</x:v>
      </x:c>
      <x:c r="J49" s="107"/>
      <x:c r="K49" s="104" t="n">
        <x:v>4</x:v>
      </x:c>
      <x:c r="L49" s="107"/>
      <x:c r="M49" s="107" t="str"/>
      <x:c r="N49" s="108" t="n">
        <x:v>0</x:v>
      </x:c>
      <x:c r="O49" s="107" t="str">
        <x:v>NO CONTRATADA</x:v>
      </x:c>
      <x:c r="P49" s="109" t="n">
        <x:f>IF(AND(E49="Sí",O49="ACEPTADA"),K49,0)</x:f>
        <x:v>0</x:v>
      </x:c>
      <x:c r="Q49" s="109" t="n">
        <x:f>IF(E49="Sí",K49*N49,0)</x:f>
        <x:v>0</x:v>
      </x:c>
      <x:c r="R49" s="104" t="str">
        <x:v>El flujo es trazable y no permite escalado de privilegios.</x:v>
      </x:c>
      <x:c r="S49" s="104" t="str">
        <x:v>Tests + demo</x:v>
      </x:c>
      <x:c r="T49" s="104" t="str">
        <x:v>AD.SPACE.03</x:v>
      </x:c>
      <x:c r="U49" s="107" t="str"/>
    </x:row>
    <x:row r="50">
      <x:c r="A50" s="104" t="str">
        <x:v>AD.TASK.01</x:v>
      </x:c>
      <x:c r="B50" s="104" t="str">
        <x:v>Productividad</x:v>
      </x:c>
      <x:c r="C50" s="104" t="str">
        <x:v>Asignar tarjetas a uno o varios miembros autorizados</x:v>
      </x:c>
      <x:c r="D50" s="104" t="str">
        <x:v>OPT</x:v>
      </x:c>
      <x:c r="E50" s="107" t="str">
        <x:v>No</x:v>
      </x:c>
      <x:c r="F50" s="104" t="str">
        <x:v>H3</x:v>
      </x:c>
      <x:c r="G50" s="107" t="str"/>
      <x:c r="H50" s="104" t="n">
        <x:v>4</x:v>
      </x:c>
      <x:c r="I50" s="107" t="n">
        <x:v>4</x:v>
      </x:c>
      <x:c r="J50" s="107"/>
      <x:c r="K50" s="104" t="n">
        <x:v>3</x:v>
      </x:c>
      <x:c r="L50" s="107"/>
      <x:c r="M50" s="107" t="str"/>
      <x:c r="N50" s="108" t="n">
        <x:v>0</x:v>
      </x:c>
      <x:c r="O50" s="107" t="str">
        <x:v>NO CONTRATADA</x:v>
      </x:c>
      <x:c r="P50" s="109" t="n">
        <x:f>IF(AND(E50="Sí",O50="ACEPTADA"),K50,0)</x:f>
        <x:v>0</x:v>
      </x:c>
      <x:c r="Q50" s="109" t="n">
        <x:f>IF(E50="Sí",K50*N50,0)</x:f>
        <x:v>0</x:v>
      </x:c>
      <x:c r="R50" s="104" t="str">
        <x:v>La asignación persiste, se filtra por persona y valida membresía.</x:v>
      </x:c>
      <x:c r="S50" s="104" t="str">
        <x:v>Tests + demo</x:v>
      </x:c>
      <x:c r="T50" s="104" t="str">
        <x:v>AD.KAN.03; AD.SPACE.02</x:v>
      </x:c>
      <x:c r="U50" s="107" t="str"/>
    </x:row>
    <x:row r="51">
      <x:c r="A51" s="104" t="str">
        <x:v>AD.TASK.02</x:v>
      </x:c>
      <x:c r="B51" s="104" t="str">
        <x:v>Productividad</x:v>
      </x:c>
      <x:c r="C51" s="104" t="str">
        <x:v>Añadir fecha límite y prioridad con filtros</x:v>
      </x:c>
      <x:c r="D51" s="104" t="str">
        <x:v>OPT</x:v>
      </x:c>
      <x:c r="E51" s="107" t="str">
        <x:v>No</x:v>
      </x:c>
      <x:c r="F51" s="104" t="str">
        <x:v>H3</x:v>
      </x:c>
      <x:c r="G51" s="107" t="str"/>
      <x:c r="H51" s="104" t="n">
        <x:v>4</x:v>
      </x:c>
      <x:c r="I51" s="107" t="n">
        <x:v>4</x:v>
      </x:c>
      <x:c r="J51" s="107"/>
      <x:c r="K51" s="104" t="n">
        <x:v>3</x:v>
      </x:c>
      <x:c r="L51" s="107"/>
      <x:c r="M51" s="107" t="str"/>
      <x:c r="N51" s="108" t="n">
        <x:v>0</x:v>
      </x:c>
      <x:c r="O51" s="107" t="str">
        <x:v>NO CONTRATADA</x:v>
      </x:c>
      <x:c r="P51" s="109" t="n">
        <x:f>IF(AND(E51="Sí",O51="ACEPTADA"),K51,0)</x:f>
        <x:v>0</x:v>
      </x:c>
      <x:c r="Q51" s="109" t="n">
        <x:f>IF(E51="Sí",K51*N51,0)</x:f>
        <x:v>0</x:v>
      </x:c>
      <x:c r="R51" s="104" t="str">
        <x:v>Fechas/prioridad se validan y permiten filtrar vencidas/próximas.</x:v>
      </x:c>
      <x:c r="S51" s="104" t="str">
        <x:v>Tests frontera temporal</x:v>
      </x:c>
      <x:c r="T51" s="104" t="str">
        <x:v>AD.KAN.03</x:v>
      </x:c>
      <x:c r="U51" s="107" t="str"/>
    </x:row>
    <x:row r="52">
      <x:c r="A52" s="104" t="str">
        <x:v>AD.COM.01</x:v>
      </x:c>
      <x:c r="B52" s="104" t="str">
        <x:v>Colaboración</x:v>
      </x:c>
      <x:c r="C52" s="104" t="str">
        <x:v>Implementar comentarios en tarjetas</x:v>
      </x:c>
      <x:c r="D52" s="104" t="str">
        <x:v>OPT</x:v>
      </x:c>
      <x:c r="E52" s="107" t="str">
        <x:v>No</x:v>
      </x:c>
      <x:c r="F52" s="104" t="str">
        <x:v>H3</x:v>
      </x:c>
      <x:c r="G52" s="107" t="str"/>
      <x:c r="H52" s="104" t="n">
        <x:v>5</x:v>
      </x:c>
      <x:c r="I52" s="107" t="n">
        <x:v>5</x:v>
      </x:c>
      <x:c r="J52" s="107"/>
      <x:c r="K52" s="104" t="n">
        <x:v>4</x:v>
      </x:c>
      <x:c r="L52" s="107"/>
      <x:c r="M52" s="107" t="str"/>
      <x:c r="N52" s="108" t="n">
        <x:v>0</x:v>
      </x:c>
      <x:c r="O52" s="107" t="str">
        <x:v>NO CONTRATADA</x:v>
      </x:c>
      <x:c r="P52" s="109" t="n">
        <x:f>IF(AND(E52="Sí",O52="ACEPTADA"),K52,0)</x:f>
        <x:v>0</x:v>
      </x:c>
      <x:c r="Q52" s="109" t="n">
        <x:f>IF(E52="Sí",K52*N52,0)</x:f>
        <x:v>0</x:v>
      </x:c>
      <x:c r="R52" s="104" t="str">
        <x:v>Autor, fecha y permisos quedan preservados; contenido se valida/escapa.</x:v>
      </x:c>
      <x:c r="S52" s="104" t="str">
        <x:v>Tests + demo</x:v>
      </x:c>
      <x:c r="T52" s="104" t="str">
        <x:v>AD.KAN.03; AD.AUTH.06</x:v>
      </x:c>
      <x:c r="U52" s="107" t="str"/>
    </x:row>
    <x:row r="53">
      <x:c r="A53" s="104" t="str">
        <x:v>AD.AUD.01</x:v>
      </x:c>
      <x:c r="B53" s="104" t="str">
        <x:v>Trazabilidad funcional</x:v>
      </x:c>
      <x:c r="C53" s="104" t="str">
        <x:v>Registrar actividad e historial de cambios</x:v>
      </x:c>
      <x:c r="D53" s="104" t="str">
        <x:v>ADV</x:v>
      </x:c>
      <x:c r="E53" s="107" t="str">
        <x:v>No</x:v>
      </x:c>
      <x:c r="F53" s="104" t="str">
        <x:v>H4</x:v>
      </x:c>
      <x:c r="G53" s="107" t="str"/>
      <x:c r="H53" s="104" t="n">
        <x:v>6</x:v>
      </x:c>
      <x:c r="I53" s="107" t="n">
        <x:v>6</x:v>
      </x:c>
      <x:c r="J53" s="107"/>
      <x:c r="K53" s="104" t="n">
        <x:v>5</x:v>
      </x:c>
      <x:c r="L53" s="107"/>
      <x:c r="M53" s="107" t="str"/>
      <x:c r="N53" s="108" t="n">
        <x:v>0</x:v>
      </x:c>
      <x:c r="O53" s="107" t="str">
        <x:v>NO CONTRATADA</x:v>
      </x:c>
      <x:c r="P53" s="109" t="n">
        <x:f>IF(AND(E53="Sí",O53="ACEPTADA"),K53,0)</x:f>
        <x:v>0</x:v>
      </x:c>
      <x:c r="Q53" s="109" t="n">
        <x:f>IF(E53="Sí",K53*N53,0)</x:f>
        <x:v>0</x:v>
      </x:c>
      <x:c r="R53" s="104" t="str">
        <x:v>Se reconstruye una secuencia de cambios sin almacenar secretos.</x:v>
      </x:c>
      <x:c r="S53" s="104" t="str">
        <x:v>Tests auditoría</x:v>
      </x:c>
      <x:c r="T53" s="104" t="str">
        <x:v>Recursos a auditar</x:v>
      </x:c>
      <x:c r="U53" s="107" t="str"/>
    </x:row>
    <x:row r="54">
      <x:c r="A54" s="104" t="str">
        <x:v>AD.SEARCH.01</x:v>
      </x:c>
      <x:c r="B54" s="104" t="str">
        <x:v>Consulta</x:v>
      </x:c>
      <x:c r="C54" s="104" t="str">
        <x:v>Implementar búsqueda, filtros combinables y ordenación</x:v>
      </x:c>
      <x:c r="D54" s="104" t="str">
        <x:v>OPT</x:v>
      </x:c>
      <x:c r="E54" s="107" t="str">
        <x:v>No</x:v>
      </x:c>
      <x:c r="F54" s="104" t="str">
        <x:v>H4</x:v>
      </x:c>
      <x:c r="G54" s="107" t="str"/>
      <x:c r="H54" s="104" t="n">
        <x:v>5</x:v>
      </x:c>
      <x:c r="I54" s="107" t="n">
        <x:v>5</x:v>
      </x:c>
      <x:c r="J54" s="107"/>
      <x:c r="K54" s="104" t="n">
        <x:v>4</x:v>
      </x:c>
      <x:c r="L54" s="107"/>
      <x:c r="M54" s="107" t="str"/>
      <x:c r="N54" s="108" t="n">
        <x:v>0</x:v>
      </x:c>
      <x:c r="O54" s="107" t="str">
        <x:v>NO CONTRATADA</x:v>
      </x:c>
      <x:c r="P54" s="109" t="n">
        <x:f>IF(AND(E54="Sí",O54="ACEPTADA"),K54,0)</x:f>
        <x:v>0</x:v>
      </x:c>
      <x:c r="Q54" s="109" t="n">
        <x:f>IF(E54="Sí",K54*N54,0)</x:f>
        <x:v>0</x:v>
      </x:c>
      <x:c r="R54" s="104" t="str">
        <x:v>Texto + tres filtros + paginación/orden determinista respetan permisos.</x:v>
      </x:c>
      <x:c r="S54" s="104" t="str">
        <x:v>Tests consulta</x:v>
      </x:c>
      <x:c r="T54" s="104" t="str">
        <x:v>AD.KAN.03</x:v>
      </x:c>
      <x:c r="U54" s="107" t="str"/>
    </x:row>
    <x:row r="55">
      <x:c r="A55" s="104" t="str">
        <x:v>AD.FILE.01</x:v>
      </x:c>
      <x:c r="B55" s="104" t="str">
        <x:v>Adjuntos</x:v>
      </x:c>
      <x:c r="C55" s="104" t="str">
        <x:v>Subir, descargar y eliminar adjuntos de tarjeta</x:v>
      </x:c>
      <x:c r="D55" s="104" t="str">
        <x:v>ADV</x:v>
      </x:c>
      <x:c r="E55" s="107" t="str">
        <x:v>No</x:v>
      </x:c>
      <x:c r="F55" s="104" t="str">
        <x:v>H4</x:v>
      </x:c>
      <x:c r="G55" s="107" t="str"/>
      <x:c r="H55" s="104" t="n">
        <x:v>6</x:v>
      </x:c>
      <x:c r="I55" s="107" t="n">
        <x:v>6</x:v>
      </x:c>
      <x:c r="J55" s="107"/>
      <x:c r="K55" s="104" t="n">
        <x:v>5</x:v>
      </x:c>
      <x:c r="L55" s="107"/>
      <x:c r="M55" s="107" t="str"/>
      <x:c r="N55" s="108" t="n">
        <x:v>0</x:v>
      </x:c>
      <x:c r="O55" s="107" t="str">
        <x:v>NO CONTRATADA</x:v>
      </x:c>
      <x:c r="P55" s="109" t="n">
        <x:f>IF(AND(E55="Sí",O55="ACEPTADA"),K55,0)</x:f>
        <x:v>0</x:v>
      </x:c>
      <x:c r="Q55" s="109" t="n">
        <x:f>IF(E55="Sí",K55*N55,0)</x:f>
        <x:v>0</x:v>
      </x:c>
      <x:c r="R55" s="104" t="str">
        <x:v>Tipo/tamaño/permisos se validan y el almacenamiento no depende del cliente.</x:v>
      </x:c>
      <x:c r="S55" s="104" t="str">
        <x:v>Tests upload/download</x:v>
      </x:c>
      <x:c r="T55" s="104" t="str">
        <x:v>AD.KAN.03</x:v>
      </x:c>
      <x:c r="U55" s="107" t="str"/>
    </x:row>
    <x:row r="56">
      <x:c r="A56" s="104" t="str">
        <x:v>AD.NOTIF.01</x:v>
      </x:c>
      <x:c r="B56" s="104" t="str">
        <x:v>Notificaciones</x:v>
      </x:c>
      <x:c r="C56" s="104" t="str">
        <x:v>Crear centro de notificaciones persistentes</x:v>
      </x:c>
      <x:c r="D56" s="104" t="str">
        <x:v>ADV</x:v>
      </x:c>
      <x:c r="E56" s="107" t="str">
        <x:v>No</x:v>
      </x:c>
      <x:c r="F56" s="104" t="str">
        <x:v>H4</x:v>
      </x:c>
      <x:c r="G56" s="107" t="str"/>
      <x:c r="H56" s="104" t="n">
        <x:v>6</x:v>
      </x:c>
      <x:c r="I56" s="107" t="n">
        <x:v>6</x:v>
      </x:c>
      <x:c r="J56" s="107"/>
      <x:c r="K56" s="104" t="n">
        <x:v>5</x:v>
      </x:c>
      <x:c r="L56" s="107"/>
      <x:c r="M56" s="107" t="str"/>
      <x:c r="N56" s="108" t="n">
        <x:v>0</x:v>
      </x:c>
      <x:c r="O56" s="107" t="str">
        <x:v>NO CONTRATADA</x:v>
      </x:c>
      <x:c r="P56" s="109" t="n">
        <x:f>IF(AND(E56="Sí",O56="ACEPTADA"),K56,0)</x:f>
        <x:v>0</x:v>
      </x:c>
      <x:c r="Q56" s="109" t="n">
        <x:f>IF(E56="Sí",K56*N56,0)</x:f>
        <x:v>0</x:v>
      </x:c>
      <x:c r="R56" s="104" t="str">
        <x:v>Genera, lista, marca leída y enlaza al recurso origen.</x:v>
      </x:c>
      <x:c r="S56" s="104" t="str">
        <x:v>Tests destinatario</x:v>
      </x:c>
      <x:c r="T56" s="104" t="str">
        <x:v>Eventos/menciones</x:v>
      </x:c>
      <x:c r="U56" s="107" t="str"/>
    </x:row>
    <x:row r="57">
      <x:c r="A57" s="104" t="str">
        <x:v>AD.DAY.01</x:v>
      </x:c>
      <x:c r="B57" s="104" t="str">
        <x:v>Productividad</x:v>
      </x:c>
      <x:c r="C57" s="104" t="str">
        <x:v>Crear API para vista 'Mi día'</x:v>
      </x:c>
      <x:c r="D57" s="104" t="str">
        <x:v>OPT</x:v>
      </x:c>
      <x:c r="E57" s="107" t="str">
        <x:v>No</x:v>
      </x:c>
      <x:c r="F57" s="104" t="str">
        <x:v>H4</x:v>
      </x:c>
      <x:c r="G57" s="107" t="str"/>
      <x:c r="H57" s="104" t="n">
        <x:v>5</x:v>
      </x:c>
      <x:c r="I57" s="107" t="n">
        <x:v>5</x:v>
      </x:c>
      <x:c r="J57" s="107"/>
      <x:c r="K57" s="104" t="n">
        <x:v>4</x:v>
      </x:c>
      <x:c r="L57" s="107"/>
      <x:c r="M57" s="107" t="str"/>
      <x:c r="N57" s="108" t="n">
        <x:v>0</x:v>
      </x:c>
      <x:c r="O57" s="107" t="str">
        <x:v>NO CONTRATADA</x:v>
      </x:c>
      <x:c r="P57" s="109" t="n">
        <x:f>IF(AND(E57="Sí",O57="ACEPTADA"),K57,0)</x:f>
        <x:v>0</x:v>
      </x:c>
      <x:c r="Q57" s="109" t="n">
        <x:f>IF(E57="Sí",K57*N57,0)</x:f>
        <x:v>0</x:v>
      </x:c>
      <x:c r="R57" s="104" t="str">
        <x:v>Agrega trabajo personal sin duplicar tarjetas y respeta permisos.</x:v>
      </x:c>
      <x:c r="S57" s="104" t="str">
        <x:v>Tests agregación</x:v>
      </x:c>
      <x:c r="T57" s="104" t="str">
        <x:v>AD.TASK.01/02</x:v>
      </x:c>
      <x:c r="U57" s="107" t="str"/>
    </x:row>
    <x:row r="58">
      <x:c r="A58" s="104" t="str">
        <x:v>AD.CAL.01</x:v>
      </x:c>
      <x:c r="B58" s="104" t="str">
        <x:v>Productividad</x:v>
      </x:c>
      <x:c r="C58" s="104" t="str">
        <x:v>Exponer calendario de tareas y consultas por rango</x:v>
      </x:c>
      <x:c r="D58" s="104" t="str">
        <x:v>OPT</x:v>
      </x:c>
      <x:c r="E58" s="107" t="str">
        <x:v>No</x:v>
      </x:c>
      <x:c r="F58" s="104" t="str">
        <x:v>H4</x:v>
      </x:c>
      <x:c r="G58" s="107" t="str"/>
      <x:c r="H58" s="104" t="n">
        <x:v>4</x:v>
      </x:c>
      <x:c r="I58" s="107" t="n">
        <x:v>4</x:v>
      </x:c>
      <x:c r="J58" s="107"/>
      <x:c r="K58" s="104" t="n">
        <x:v>3</x:v>
      </x:c>
      <x:c r="L58" s="107"/>
      <x:c r="M58" s="107" t="str"/>
      <x:c r="N58" s="108" t="n">
        <x:v>0</x:v>
      </x:c>
      <x:c r="O58" s="107" t="str">
        <x:v>NO CONTRATADA</x:v>
      </x:c>
      <x:c r="P58" s="109" t="n">
        <x:f>IF(AND(E58="Sí",O58="ACEPTADA"),K58,0)</x:f>
        <x:v>0</x:v>
      </x:c>
      <x:c r="Q58" s="109" t="n">
        <x:f>IF(E58="Sí",K58*N58,0)</x:f>
        <x:v>0</x:v>
      </x:c>
      <x:c r="R58" s="104" t="str">
        <x:v>Las consultas por fecha son coherentes y tratan zona horaria.</x:v>
      </x:c>
      <x:c r="S58" s="104" t="str">
        <x:v>Tests fechas</x:v>
      </x:c>
      <x:c r="T58" s="104" t="str">
        <x:v>AD.TASK.02</x:v>
      </x:c>
      <x:c r="U58" s="107" t="str"/>
    </x:row>
    <x:row r="59">
      <x:c r="A59" s="104" t="str">
        <x:v>AD.WORK.01</x:v>
      </x:c>
      <x:c r="B59" s="104" t="str">
        <x:v>Planificación</x:v>
      </x:c>
      <x:c r="C59" s="104" t="str">
        <x:v>Implementar estimación/carga de trabajo por miembro</x:v>
      </x:c>
      <x:c r="D59" s="104" t="str">
        <x:v>OPT</x:v>
      </x:c>
      <x:c r="E59" s="107" t="str">
        <x:v>No</x:v>
      </x:c>
      <x:c r="F59" s="104" t="str">
        <x:v>H4</x:v>
      </x:c>
      <x:c r="G59" s="107" t="str"/>
      <x:c r="H59" s="104" t="n">
        <x:v>4</x:v>
      </x:c>
      <x:c r="I59" s="107" t="n">
        <x:v>4</x:v>
      </x:c>
      <x:c r="J59" s="107"/>
      <x:c r="K59" s="104" t="n">
        <x:v>3</x:v>
      </x:c>
      <x:c r="L59" s="107"/>
      <x:c r="M59" s="107" t="str"/>
      <x:c r="N59" s="108" t="n">
        <x:v>0</x:v>
      </x:c>
      <x:c r="O59" s="107" t="str">
        <x:v>NO CONTRATADA</x:v>
      </x:c>
      <x:c r="P59" s="109" t="n">
        <x:f>IF(AND(E59="Sí",O59="ACEPTADA"),K59,0)</x:f>
        <x:v>0</x:v>
      </x:c>
      <x:c r="Q59" s="109" t="n">
        <x:f>IF(E59="Sí",K59*N59,0)</x:f>
        <x:v>0</x:v>
      </x:c>
      <x:c r="R59" s="104" t="str">
        <x:v>Se almacenan estimaciones y se puede resumir carga por persona.</x:v>
      </x:c>
      <x:c r="S59" s="104" t="str">
        <x:v>Tests + consulta</x:v>
      </x:c>
      <x:c r="T59" s="104" t="str">
        <x:v>AD.TASK.01</x:v>
      </x:c>
      <x:c r="U59" s="107" t="str"/>
    </x:row>
    <x:row r="60">
      <x:c r="A60" s="104" t="str">
        <x:v>AD.DEP.01</x:v>
      </x:c>
      <x:c r="B60" s="104" t="str">
        <x:v>Planificación</x:v>
      </x:c>
      <x:c r="C60" s="104" t="str">
        <x:v>Implementar dependencias/bloqueos entre tarjetas</x:v>
      </x:c>
      <x:c r="D60" s="104" t="str">
        <x:v>OPT</x:v>
      </x:c>
      <x:c r="E60" s="107" t="str">
        <x:v>No</x:v>
      </x:c>
      <x:c r="F60" s="104" t="str">
        <x:v>H4</x:v>
      </x:c>
      <x:c r="G60" s="107" t="str"/>
      <x:c r="H60" s="104" t="n">
        <x:v>5</x:v>
      </x:c>
      <x:c r="I60" s="107" t="n">
        <x:v>5</x:v>
      </x:c>
      <x:c r="J60" s="107"/>
      <x:c r="K60" s="104" t="n">
        <x:v>4</x:v>
      </x:c>
      <x:c r="L60" s="107"/>
      <x:c r="M60" s="107" t="str"/>
      <x:c r="N60" s="108" t="n">
        <x:v>0</x:v>
      </x:c>
      <x:c r="O60" s="107" t="str">
        <x:v>NO CONTRATADA</x:v>
      </x:c>
      <x:c r="P60" s="109" t="n">
        <x:f>IF(AND(E60="Sí",O60="ACEPTADA"),K60,0)</x:f>
        <x:v>0</x:v>
      </x:c>
      <x:c r="Q60" s="109" t="n">
        <x:f>IF(E60="Sí",K60*N60,0)</x:f>
        <x:v>0</x:v>
      </x:c>
      <x:c r="R60" s="104" t="str">
        <x:v>No se crean ciclos si el contrato los prohíbe y se detectan bloqueos.</x:v>
      </x:c>
      <x:c r="S60" s="104" t="str">
        <x:v>Tests ciclo/bloqueo</x:v>
      </x:c>
      <x:c r="T60" s="104" t="str">
        <x:v>AD.KAN.03</x:v>
      </x:c>
      <x:c r="U60" s="107" t="str"/>
    </x:row>
    <x:row r="61">
      <x:c r="A61" s="104" t="str">
        <x:v>AD.PORT.01</x:v>
      </x:c>
      <x:c r="B61" s="104" t="str">
        <x:v>Portfolio</x:v>
      </x:c>
      <x:c r="C61" s="104" t="str">
        <x:v>Vincular evidencias/artefactos a tareas o tarjetas</x:v>
      </x:c>
      <x:c r="D61" s="104" t="str">
        <x:v>OPT</x:v>
      </x:c>
      <x:c r="E61" s="107" t="str">
        <x:v>No</x:v>
      </x:c>
      <x:c r="F61" s="104" t="str">
        <x:v>H4</x:v>
      </x:c>
      <x:c r="G61" s="107" t="str"/>
      <x:c r="H61" s="104" t="n">
        <x:v>5</x:v>
      </x:c>
      <x:c r="I61" s="107" t="n">
        <x:v>5</x:v>
      </x:c>
      <x:c r="J61" s="107"/>
      <x:c r="K61" s="104" t="n">
        <x:v>4</x:v>
      </x:c>
      <x:c r="L61" s="107"/>
      <x:c r="M61" s="107" t="str"/>
      <x:c r="N61" s="108" t="n">
        <x:v>0</x:v>
      </x:c>
      <x:c r="O61" s="107" t="str">
        <x:v>NO CONTRATADA</x:v>
      </x:c>
      <x:c r="P61" s="109" t="n">
        <x:f>IF(AND(E61="Sí",O61="ACEPTADA"),K61,0)</x:f>
        <x:v>0</x:v>
      </x:c>
      <x:c r="Q61" s="109" t="n">
        <x:f>IF(E61="Sí",K61*N61,0)</x:f>
        <x:v>0</x:v>
      </x:c>
      <x:c r="R61" s="104" t="str">
        <x:v>Los enlaces tienen autor/origen y respetan permisos.</x:v>
      </x:c>
      <x:c r="S61" s="104" t="str">
        <x:v>Tests + demo</x:v>
      </x:c>
      <x:c r="T61" s="104" t="str">
        <x:v>AD.FILE.01 opcional</x:v>
      </x:c>
      <x:c r="U61" s="107" t="str"/>
    </x:row>
    <x:row r="62">
      <x:c r="A62" s="104" t="str">
        <x:v>AD.FEED.01</x:v>
      </x:c>
      <x:c r="B62" s="104" t="str">
        <x:v>Portfolio</x:v>
      </x:c>
      <x:c r="C62" s="104" t="str">
        <x:v>Implementar feedback/revisión sobre evidencias</x:v>
      </x:c>
      <x:c r="D62" s="104" t="str">
        <x:v>OPT</x:v>
      </x:c>
      <x:c r="E62" s="107" t="str">
        <x:v>No</x:v>
      </x:c>
      <x:c r="F62" s="104" t="str">
        <x:v>H4</x:v>
      </x:c>
      <x:c r="G62" s="107" t="str"/>
      <x:c r="H62" s="104" t="n">
        <x:v>5</x:v>
      </x:c>
      <x:c r="I62" s="107" t="n">
        <x:v>5</x:v>
      </x:c>
      <x:c r="J62" s="107"/>
      <x:c r="K62" s="104" t="n">
        <x:v>4</x:v>
      </x:c>
      <x:c r="L62" s="107"/>
      <x:c r="M62" s="107" t="str"/>
      <x:c r="N62" s="108" t="n">
        <x:v>0</x:v>
      </x:c>
      <x:c r="O62" s="107" t="str">
        <x:v>NO CONTRATADA</x:v>
      </x:c>
      <x:c r="P62" s="109" t="n">
        <x:f>IF(AND(E62="Sí",O62="ACEPTADA"),K62,0)</x:f>
        <x:v>0</x:v>
      </x:c>
      <x:c r="Q62" s="109" t="n">
        <x:f>IF(E62="Sí",K62*N62,0)</x:f>
        <x:v>0</x:v>
      </x:c>
      <x:c r="R62" s="104" t="str">
        <x:v>Existe estado/revisor/comentario y trazabilidad de la revisión.</x:v>
      </x:c>
      <x:c r="S62" s="104" t="str">
        <x:v>Tests + demo</x:v>
      </x:c>
      <x:c r="T62" s="104" t="str">
        <x:v>AD.PORT.01</x:v>
      </x:c>
      <x:c r="U62" s="107" t="str"/>
    </x:row>
    <x:row r="63">
      <x:c r="A63" s="104" t="str">
        <x:v>AD.MIG.06</x:v>
      </x:c>
      <x:c r="B63" s="104" t="str">
        <x:v>Migración avanzada</x:v>
      </x:c>
      <x:c r="C63" s="104" t="str">
        <x:v>Añadir dry-run y validación previa de migración</x:v>
      </x:c>
      <x:c r="D63" s="104" t="str">
        <x:v>ADV</x:v>
      </x:c>
      <x:c r="E63" s="107" t="str">
        <x:v>No</x:v>
      </x:c>
      <x:c r="F63" s="104" t="str">
        <x:v>H4</x:v>
      </x:c>
      <x:c r="G63" s="107" t="str"/>
      <x:c r="H63" s="104" t="n">
        <x:v>5</x:v>
      </x:c>
      <x:c r="I63" s="107" t="n">
        <x:v>5</x:v>
      </x:c>
      <x:c r="J63" s="107"/>
      <x:c r="K63" s="104" t="n">
        <x:v>4</x:v>
      </x:c>
      <x:c r="L63" s="107"/>
      <x:c r="M63" s="107" t="str"/>
      <x:c r="N63" s="108" t="n">
        <x:v>0</x:v>
      </x:c>
      <x:c r="O63" s="107" t="str">
        <x:v>NO CONTRATADA</x:v>
      </x:c>
      <x:c r="P63" s="109" t="n">
        <x:f>IF(AND(E63="Sí",O63="ACEPTADA"),K63,0)</x:f>
        <x:v>0</x:v>
      </x:c>
      <x:c r="Q63" s="109" t="n">
        <x:f>IF(E63="Sí",K63*N63,0)</x:f>
        <x:v>0</x:v>
      </x:c>
      <x:c r="R63" s="104" t="str">
        <x:v>El dry-run no modifica destino y anticipa errores/conteos.</x:v>
      </x:c>
      <x:c r="S63" s="104" t="str">
        <x:v>Prueba dry-run</x:v>
      </x:c>
      <x:c r="T63" s="104" t="str">
        <x:v>AD.MIG.03</x:v>
      </x:c>
      <x:c r="U63" s="107" t="str"/>
    </x:row>
    <x:row r="64">
      <x:c r="A64" s="104" t="str">
        <x:v>AD.IMP.01</x:v>
      </x:c>
      <x:c r="B64" s="104" t="str">
        <x:v>Portabilidad</x:v>
      </x:c>
      <x:c r="C64" s="104" t="str">
        <x:v>Mantener importación compatible con CSV v1</x:v>
      </x:c>
      <x:c r="D64" s="104" t="str">
        <x:v>OPT</x:v>
      </x:c>
      <x:c r="E64" s="107" t="str">
        <x:v>No</x:v>
      </x:c>
      <x:c r="F64" s="104" t="str">
        <x:v>H4</x:v>
      </x:c>
      <x:c r="G64" s="107" t="str"/>
      <x:c r="H64" s="104" t="n">
        <x:v>4</x:v>
      </x:c>
      <x:c r="I64" s="107" t="n">
        <x:v>4</x:v>
      </x:c>
      <x:c r="J64" s="107"/>
      <x:c r="K64" s="104" t="n">
        <x:v>3</x:v>
      </x:c>
      <x:c r="L64" s="107"/>
      <x:c r="M64" s="107" t="str"/>
      <x:c r="N64" s="108" t="n">
        <x:v>0</x:v>
      </x:c>
      <x:c r="O64" s="107" t="str">
        <x:v>NO CONTRATADA</x:v>
      </x:c>
      <x:c r="P64" s="109" t="n">
        <x:f>IF(AND(E64="Sí",O64="ACEPTADA"),K64,0)</x:f>
        <x:v>0</x:v>
      </x:c>
      <x:c r="Q64" s="109" t="n">
        <x:f>IF(E64="Sí",K64*N64,0)</x:f>
        <x:v>0</x:v>
      </x:c>
      <x:c r="R64" s="104" t="str">
        <x:v>Un CSV v1 válido se importa sin edición manual y errores se previsualizan.</x:v>
      </x:c>
      <x:c r="S64" s="104" t="str">
        <x:v>Fixtures + tests</x:v>
      </x:c>
      <x:c r="T64" s="104" t="str">
        <x:v>Formato CSV 1.0</x:v>
      </x:c>
      <x:c r="U64" s="107" t="str"/>
    </x:row>
    <x:row r="65">
      <x:c r="A65" s="104" t="str">
        <x:v>AD.IMP.02</x:v>
      </x:c>
      <x:c r="B65" s="104" t="str">
        <x:v>Portabilidad</x:v>
      </x:c>
      <x:c r="C65" s="104" t="str">
        <x:v>Implementar importación/exportación JSON versionada</x:v>
      </x:c>
      <x:c r="D65" s="104" t="str">
        <x:v>OPT</x:v>
      </x:c>
      <x:c r="E65" s="107" t="str">
        <x:v>No</x:v>
      </x:c>
      <x:c r="F65" s="104" t="str">
        <x:v>H4</x:v>
      </x:c>
      <x:c r="G65" s="107" t="str"/>
      <x:c r="H65" s="104" t="n">
        <x:v>4</x:v>
      </x:c>
      <x:c r="I65" s="107" t="n">
        <x:v>4</x:v>
      </x:c>
      <x:c r="J65" s="107"/>
      <x:c r="K65" s="104" t="n">
        <x:v>3</x:v>
      </x:c>
      <x:c r="L65" s="107"/>
      <x:c r="M65" s="107" t="str"/>
      <x:c r="N65" s="108" t="n">
        <x:v>0</x:v>
      </x:c>
      <x:c r="O65" s="107" t="str">
        <x:v>NO CONTRATADA</x:v>
      </x:c>
      <x:c r="P65" s="109" t="n">
        <x:f>IF(AND(E65="Sí",O65="ACEPTADA"),K65,0)</x:f>
        <x:v>0</x:v>
      </x:c>
      <x:c r="Q65" s="109" t="n">
        <x:f>IF(E65="Sí",K65*N65,0)</x:f>
        <x:v>0</x:v>
      </x:c>
      <x:c r="R65" s="104" t="str">
        <x:v>Round-trip conserva campos contratados y versión incompatible falla explícitamente.</x:v>
      </x:c>
      <x:c r="S65" s="104" t="str">
        <x:v>Schema + tests</x:v>
      </x:c>
      <x:c r="T65" s="104" t="str">
        <x:v>Modelo 2.0</x:v>
      </x:c>
      <x:c r="U65" s="107" t="str"/>
    </x:row>
    <x:row r="66">
      <x:c r="A66" s="104" t="str">
        <x:v>AD.REP.01</x:v>
      </x:c>
      <x:c r="B66" s="104" t="str">
        <x:v>Reporting</x:v>
      </x:c>
      <x:c r="C66" s="104" t="str">
        <x:v>Generar informe/exportación PDF desde datos del sistema</x:v>
      </x:c>
      <x:c r="D66" s="104" t="str">
        <x:v>OPT</x:v>
      </x:c>
      <x:c r="E66" s="107" t="str">
        <x:v>No</x:v>
      </x:c>
      <x:c r="F66" s="104" t="str">
        <x:v>H5</x:v>
      </x:c>
      <x:c r="G66" s="107" t="str"/>
      <x:c r="H66" s="104" t="n">
        <x:v>5</x:v>
      </x:c>
      <x:c r="I66" s="107" t="n">
        <x:v>5</x:v>
      </x:c>
      <x:c r="J66" s="107"/>
      <x:c r="K66" s="104" t="n">
        <x:v>3</x:v>
      </x:c>
      <x:c r="L66" s="107"/>
      <x:c r="M66" s="107" t="str"/>
      <x:c r="N66" s="108" t="n">
        <x:v>0</x:v>
      </x:c>
      <x:c r="O66" s="107" t="str">
        <x:v>NO CONTRATADA</x:v>
      </x:c>
      <x:c r="P66" s="109" t="n">
        <x:f>IF(AND(E66="Sí",O66="ACEPTADA"),K66,0)</x:f>
        <x:v>0</x:v>
      </x:c>
      <x:c r="Q66" s="109" t="n">
        <x:f>IF(E66="Sí",K66*N66,0)</x:f>
        <x:v>0</x:v>
      </x:c>
      <x:c r="R66" s="104" t="str">
        <x:v>El PDF refleja datos reales y respeta permisos.</x:v>
      </x:c>
      <x:c r="S66" s="104" t="str">
        <x:v>PDF + test autorización</x:v>
      </x:c>
      <x:c r="T66" s="104" t="str">
        <x:v>Recursos estables</x:v>
      </x:c>
      <x:c r="U66" s="107" t="str"/>
    </x:row>
    <x:row r="67">
      <x:c r="A67" s="104" t="str">
        <x:v>AD.BACK.01</x:v>
      </x:c>
      <x:c r="B67" s="104" t="str">
        <x:v>Operación de datos</x:v>
      </x:c>
      <x:c r="C67" s="104" t="str">
        <x:v>Automatizar backup/restore de persistencia 2.0</x:v>
      </x:c>
      <x:c r="D67" s="104" t="str">
        <x:v>ADV</x:v>
      </x:c>
      <x:c r="E67" s="107" t="str">
        <x:v>No</x:v>
      </x:c>
      <x:c r="F67" s="104" t="str">
        <x:v>H4</x:v>
      </x:c>
      <x:c r="G67" s="107" t="str"/>
      <x:c r="H67" s="104" t="n">
        <x:v>6</x:v>
      </x:c>
      <x:c r="I67" s="107" t="n">
        <x:v>6</x:v>
      </x:c>
      <x:c r="J67" s="107"/>
      <x:c r="K67" s="104" t="n">
        <x:v>4</x:v>
      </x:c>
      <x:c r="L67" s="107"/>
      <x:c r="M67" s="107" t="str"/>
      <x:c r="N67" s="108" t="n">
        <x:v>0</x:v>
      </x:c>
      <x:c r="O67" s="107" t="str">
        <x:v>NO CONTRATADA</x:v>
      </x:c>
      <x:c r="P67" s="109" t="n">
        <x:f>IF(AND(E67="Sí",O67="ACEPTADA"),K67,0)</x:f>
        <x:v>0</x:v>
      </x:c>
      <x:c r="Q67" s="109" t="n">
        <x:f>IF(E67="Sí",K67*N67,0)</x:f>
        <x:v>0</x:v>
      </x:c>
      <x:c r="R67" s="104" t="str">
        <x:v>Backup y restore recuperan fixture esperada con procedimiento reproducible.</x:v>
      </x:c>
      <x:c r="S67" s="104" t="str">
        <x:v>Backup + restore test</x:v>
      </x:c>
      <x:c r="T67" s="104" t="str">
        <x:v>Persistencia estable</x:v>
      </x:c>
      <x:c r="U67" s="107" t="str"/>
    </x:row>
  </x:sheetData>
  <x:mergeCells>
    <x:mergeCell ref="A1:U1"/>
    <x:mergeCell ref="A2:U2"/>
  </x:mergeCells>
  <x:conditionalFormatting sqref="O15:O67">
    <x:cfRule type="expression" dxfId="8" priority="4">
      <x:formula>O15="ACEPTADA"</x:formula>
    </x:cfRule>
    <x:cfRule type="expression" dxfId="9" priority="5">
      <x:formula>O15="BLOQUEADA"</x:formula>
    </x:cfRule>
  </x:conditionalFormatting>
  <x:conditionalFormatting sqref="D15:D67">
    <x:cfRule type="expression" dxfId="18" priority="6">
      <x:formula>D15="OBL"</x:formula>
    </x:cfRule>
    <x:cfRule type="expression" dxfId="19" priority="7">
      <x:formula>D15="ADV"</x:formula>
    </x:cfRule>
    <x:cfRule type="expression" dxfId="20" priority="8">
      <x:formula>D15="OPT"</x:formula>
    </x:cfRule>
  </x:conditionalFormatting>
  <x:conditionalFormatting sqref="N15:N67">
    <x:cfRule type="dataBar" priority="9">
      <x:dataBar>
        <x:cfvo type="min"/>
        <x:cfvo type="max"/>
        <x:color rgb="FFA02B93"/>
      </x:dataBar>
      <x:extLst>
        <x:ext xmlns:x14="http://schemas.microsoft.com/office/spreadsheetml/2009/9/main" uri="{B025F937-C7B1-47D3-B67F-A62EFF666E3E}">
          <x14:id>{F1345CAD-DC64-A947-0CB0-1253933BC979}</x14:id>
        </x:ext>
      </x:extLst>
    </x:cfRule>
  </x:conditionalFormatting>
  <x:dataValidations count="4">
    <x:dataValidation type="list" sqref="E15:E67">
      <x:formula1>"Sí,No"</x:formula1>
    </x:dataValidation>
    <x:dataValidation type="list" sqref="G15:G67">
      <x:formula1>"H0,H1,H2,H3,H4,H5"</x:formula1>
    </x:dataValidation>
    <x:dataValidation type="list" sqref="O15:O67">
      <x:formula1>"NO CONTRATADA,BACKLOG,PLANIFICADA,EN DESARROLLO,EN REVISIÓN,ACEPTADA,BLOQUEADA,RECUPERACIÓN"</x:formula1>
    </x:dataValidation>
    <x:dataValidation type="list" sqref="L15:L67">
      <x:formula1>'16 Contrato firma'!$B$7:$B$10</x:formula1>
    </x:dataValidation>
  </x:dataValidations>
  <x:pageMargins left="0.7" right="0.7" top="0.75" bottom="0.75" header="0.3" footer="0.3"/>
  <x:tableParts count="1">
    <x:tablePart xmlns:r="http://schemas.openxmlformats.org/officeDocument/2006/relationships" r:id="Rfc8500f182aa4888"/>
  </x:tableParts>
  <x:extLst>
    <x:ext xmlns:x14="http://schemas.microsoft.com/office/spreadsheetml/2009/9/main" xmlns:xm="http://schemas.microsoft.com/office/excel/2006/main" uri="{78C0D931-6437-407d-A8EE-F0AAD7539E65}">
      <x14:conditionalFormattings>
        <x14:conditionalFormatting>
          <x14:cfRule type="dataBar" priority="9" id="{F1345CAD-DC64-A947-0CB0-1253933BC979}">
            <x14:dataBar gradient="1">
              <x14:cfvo type="min"/>
              <x14:cfvo type="max"/>
              <x14:fillColor rgb="FFA02B93"/>
            </x14:dataBar>
          </x14:cfRule>
          <xm:sqref>N15:N67</xm:sqref>
        </x14:conditionalFormatting>
      </x14:conditionalFormattings>
    </x:ext>
  </x:extLst>
</x:worksheet>
</file>

<file path=xl/worksheets/sheet4.xml><?xml version="1.0" encoding="utf-8"?>
<x:worksheet xmlns:x="http://schemas.openxmlformats.org/spreadsheetml/2006/main">
  <x:sheetFormatPr defaultRowHeight="15"/>
  <x:cols>
    <x:col min="1" max="1" width="16" hidden="0" customWidth="1"/>
    <x:col min="2" max="2" width="24" hidden="0" customWidth="1"/>
    <x:col min="3" max="3" width="48" hidden="0" customWidth="1"/>
    <x:col min="4" max="4" width="9" hidden="0" customWidth="1"/>
    <x:col min="5" max="5" width="11" hidden="0" customWidth="1"/>
    <x:col min="6" max="6" width="14" hidden="0" customWidth="1"/>
    <x:col min="7" max="7" width="14" hidden="0" customWidth="1"/>
    <x:col min="8" max="8" width="12" hidden="0" customWidth="1"/>
    <x:col min="9" max="9" width="12" hidden="0" customWidth="1"/>
    <x:col min="10" max="10" width="12" hidden="0" customWidth="1"/>
    <x:col min="11" max="11" width="7" hidden="0" customWidth="1"/>
    <x:col min="12" max="12" width="16" hidden="0" customWidth="1"/>
    <x:col min="13" max="13" width="10" hidden="0" customWidth="1"/>
    <x:col min="14" max="14" width="10" hidden="0" customWidth="1"/>
    <x:col min="15" max="15" width="16" hidden="0" customWidth="1"/>
    <x:col min="16" max="16" width="11" hidden="0" customWidth="1"/>
    <x:col min="17" max="17" width="11" hidden="0" customWidth="1"/>
    <x:col min="18" max="18" width="52" hidden="0" customWidth="1"/>
    <x:col min="19" max="19" width="30" hidden="0" customWidth="1"/>
    <x:col min="20" max="20" width="28" hidden="0" customWidth="1"/>
    <x:col min="21" max="21" width="28" hidden="0" customWidth="1"/>
  </x:cols>
  <x:sheetData>
    <x:row r="1" ht="28" customHeight="1">
      <x:c r="A1" s="88" t="str">
        <x:v>PMDM · Presupuesto de tareas · AulaFlow 2.0 · v1.0 · copia operativa</x:v>
      </x:c>
      <x:c r="B1" s="88"/>
      <x:c r="C1" s="88"/>
      <x:c r="D1" s="88"/>
      <x:c r="E1" s="88"/>
      <x:c r="F1" s="88"/>
      <x:c r="G1" s="88"/>
      <x:c r="H1" s="88"/>
      <x:c r="I1" s="88"/>
      <x:c r="J1" s="88"/>
      <x:c r="K1" s="88"/>
      <x:c r="L1" s="88"/>
      <x:c r="M1" s="88"/>
      <x:c r="N1" s="88"/>
      <x:c r="O1" s="88"/>
      <x:c r="P1" s="88"/>
      <x:c r="Q1" s="88"/>
      <x:c r="R1" s="88"/>
      <x:c r="S1" s="88"/>
      <x:c r="T1" s="88"/>
      <x:c r="U1" s="88"/>
    </x:row>
    <x:row r="2" ht="40" customHeight="1">
      <x:c r="A2" s="91" t="str">
        <x:v>Flutter/Dart. Arquitectura, autenticación, Kanban, calidad y ampliaciones de dispositivo/offline/notificaciones. Los 25 AT OBL forman parte del núcleo; el resto amplía alcance. Las horas son horas-persona totales del equipo para cada tarea.</x:v>
      </x:c>
      <x:c r="B2" s="91"/>
      <x:c r="C2" s="91"/>
      <x:c r="D2" s="91"/>
      <x:c r="E2" s="91"/>
      <x:c r="F2" s="91"/>
      <x:c r="G2" s="91"/>
      <x:c r="H2" s="91"/>
      <x:c r="I2" s="91"/>
      <x:c r="J2" s="91"/>
      <x:c r="K2" s="91"/>
      <x:c r="L2" s="91"/>
      <x:c r="M2" s="91"/>
      <x:c r="N2" s="91"/>
      <x:c r="O2" s="91"/>
      <x:c r="P2" s="91"/>
      <x:c r="Q2" s="91"/>
      <x:c r="R2" s="91"/>
      <x:c r="S2" s="91"/>
      <x:c r="T2" s="91"/>
      <x:c r="U2" s="91"/>
    </x:row>
    <x:row r="4">
      <x:c r="A4" s="79" t="str">
        <x:v>RESUMEN</x:v>
      </x:c>
      <x:c r="B4" s="79" t="str">
        <x:v>VALOR</x:v>
      </x:c>
    </x:row>
    <x:row r="5">
      <x:c r="A5" s="95" t="str">
        <x:v>AT obligatorios ofertados</x:v>
      </x:c>
      <x:c r="B5" s="96" t="n">
        <x:f>SUMIF(D15:D49,"OBL",K15:K49)</x:f>
        <x:v>25</x:v>
      </x:c>
    </x:row>
    <x:row r="6">
      <x:c r="A6" s="95" t="str">
        <x:v>AT totales ofertados</x:v>
      </x:c>
      <x:c r="B6" s="96" t="n">
        <x:f>SUM(K15:K49)</x:f>
        <x:v>73</x:v>
      </x:c>
    </x:row>
    <x:row r="7">
      <x:c r="A7" s="95" t="str">
        <x:v>AT seleccionados</x:v>
      </x:c>
      <x:c r="B7" s="96" t="n">
        <x:f>SUMIF(E15:E49,"Sí",K15:K49)</x:f>
        <x:v>25</x:v>
      </x:c>
    </x:row>
    <x:row r="8">
      <x:c r="A8" s="95" t="str">
        <x:v>AT validados</x:v>
      </x:c>
      <x:c r="B8" s="96" t="n">
        <x:f>SUM(P15:P49)</x:f>
        <x:v>0</x:v>
      </x:c>
    </x:row>
    <x:row r="9">
      <x:c r="A9" s="95" t="str">
        <x:v>Horas recomendadas seleccionadas</x:v>
      </x:c>
      <x:c r="B9" s="96" t="n">
        <x:f>SUMIF(E15:E49,"Sí",H15:H49)</x:f>
        <x:v>69</x:v>
      </x:c>
    </x:row>
    <x:row r="10">
      <x:c r="A10" s="95" t="str">
        <x:v>Horas presupuestadas seleccionadas</x:v>
      </x:c>
      <x:c r="B10" s="96" t="n">
        <x:f>SUMIF(E15:E49,"Sí",I15:I49)</x:f>
        <x:v>69</x:v>
      </x:c>
    </x:row>
    <x:row r="11">
      <x:c r="A11" s="95" t="str">
        <x:v>Horas dedicadas</x:v>
      </x:c>
      <x:c r="B11" s="96" t="n">
        <x:f>SUM(J15:J49)</x:f>
        <x:v>0</x:v>
      </x:c>
    </x:row>
    <x:row r="12">
      <x:c r="A12" s="95" t="str">
        <x:v>Progreso ponderado por AT</x:v>
      </x:c>
      <x:c r="B12" s="97" t="n">
        <x:f>IF(B7=0,0,SUM(Q15:Q49)/B7)</x:f>
        <x:v>0</x:v>
      </x:c>
    </x:row>
    <x:row r="14" ht="44" customHeight="1">
      <x:c r="A14" s="100" t="str">
        <x:v>ID</x:v>
      </x:c>
      <x:c r="B14" s="100" t="str">
        <x:v>Especificación / funcionalidad</x:v>
      </x:c>
      <x:c r="C14" s="100" t="str">
        <x:v>Tarea / entregable</x:v>
      </x:c>
      <x:c r="D14" s="100" t="str">
        <x:v>Tipo</x:v>
      </x:c>
      <x:c r="E14" s="100" t="str">
        <x:v>Seleccionada</x:v>
      </x:c>
      <x:c r="F14" s="100" t="str">
        <x:v>Hito recomendado</x:v>
      </x:c>
      <x:c r="G14" s="100" t="str">
        <x:v>Hito elegido</x:v>
      </x:c>
      <x:c r="H14" s="100" t="str">
        <x:v>Horas recomendadas (equipo)</x:v>
      </x:c>
      <x:c r="I14" s="100" t="str">
        <x:v>Horas presupuestadas (equipo)</x:v>
      </x:c>
      <x:c r="J14" s="100" t="str">
        <x:v>Horas dedicadas (equipo)</x:v>
      </x:c>
      <x:c r="K14" s="100" t="str">
        <x:v>AT</x:v>
      </x:c>
      <x:c r="L14" s="100" t="str">
        <x:v>Responsable</x:v>
      </x:c>
      <x:c r="M14" s="100" t="str">
        <x:v>Sprint</x:v>
      </x:c>
      <x:c r="N14" s="100" t="str">
        <x:v>% realizado</x:v>
      </x:c>
      <x:c r="O14" s="100" t="str">
        <x:v>Estado</x:v>
      </x:c>
      <x:c r="P14" s="100" t="str">
        <x:v>AT validados</x:v>
      </x:c>
      <x:c r="Q14" s="100" t="str">
        <x:v>AT progreso</x:v>
      </x:c>
      <x:c r="R14" s="100" t="str">
        <x:v>Criterios de aceptación</x:v>
      </x:c>
      <x:c r="S14" s="100" t="str">
        <x:v>Evidencia esperada</x:v>
      </x:c>
      <x:c r="T14" s="100" t="str">
        <x:v>Dependencias</x:v>
      </x:c>
      <x:c r="U14" s="100" t="str">
        <x:v>Observaciones</x:v>
      </x:c>
    </x:row>
    <x:row r="15">
      <x:c r="A15" s="104" t="str">
        <x:v>PMDM.ARCH.01</x:v>
      </x:c>
      <x:c r="B15" s="104" t="str">
        <x:v>Arquitectura Flutter</x:v>
      </x:c>
      <x:c r="C15" s="104" t="str">
        <x:v>Crear proyecto Flutter con configuración de entorno y estructura base</x:v>
      </x:c>
      <x:c r="D15" s="104" t="str">
        <x:v>OBL</x:v>
      </x:c>
      <x:c r="E15" s="107" t="str">
        <x:v>Sí</x:v>
      </x:c>
      <x:c r="F15" s="104" t="str">
        <x:v>H2</x:v>
      </x:c>
      <x:c r="G15" s="107" t="str"/>
      <x:c r="H15" s="104" t="n">
        <x:v>3</x:v>
      </x:c>
      <x:c r="I15" s="107" t="n">
        <x:v>3</x:v>
      </x:c>
      <x:c r="J15" s="107"/>
      <x:c r="K15" s="104" t="n">
        <x:v>1</x:v>
      </x:c>
      <x:c r="L15" s="107"/>
      <x:c r="M15" s="107" t="str"/>
      <x:c r="N15" s="108" t="n">
        <x:v>0</x:v>
      </x:c>
      <x:c r="O15" s="107" t="str">
        <x:v>BACKLOG</x:v>
      </x:c>
      <x:c r="P15" s="109" t="n">
        <x:f>IF(AND(E15="Sí",O15="ACEPTADA"),K15,0)</x:f>
        <x:v>0</x:v>
      </x:c>
      <x:c r="Q15" s="109" t="n">
        <x:f>IF(E15="Sí",K15*N15,0)</x:f>
        <x:v>0</x:v>
      </x:c>
      <x:c r="R15" s="104" t="str">
        <x:v>El proyecto arranca y el endpoint/configuración no queda hardcodeado de forma insegura.</x:v>
      </x:c>
      <x:c r="S15" s="104" t="str">
        <x:v>Repo + build</x:v>
      </x:c>
      <x:c r="T15" s="104" t="str">
        <x:v>PM1-PM3</x:v>
      </x:c>
      <x:c r="U15" s="107" t="str"/>
    </x:row>
    <x:row r="16">
      <x:c r="A16" s="104" t="str">
        <x:v>PMDM.ARCH.02</x:v>
      </x:c>
      <x:c r="B16" s="104" t="str">
        <x:v>Arquitectura Flutter</x:v>
      </x:c>
      <x:c r="C16" s="104" t="str">
        <x:v>Aplicar separación View → ViewModel → Repository → Service</x:v>
      </x:c>
      <x:c r="D16" s="104" t="str">
        <x:v>OBL</x:v>
      </x:c>
      <x:c r="E16" s="107" t="str">
        <x:v>Sí</x:v>
      </x:c>
      <x:c r="F16" s="104" t="str">
        <x:v>H2</x:v>
      </x:c>
      <x:c r="G16" s="107" t="str"/>
      <x:c r="H16" s="104" t="n">
        <x:v>5</x:v>
      </x:c>
      <x:c r="I16" s="107" t="n">
        <x:v>5</x:v>
      </x:c>
      <x:c r="J16" s="107"/>
      <x:c r="K16" s="104" t="n">
        <x:v>2</x:v>
      </x:c>
      <x:c r="L16" s="107"/>
      <x:c r="M16" s="107" t="str"/>
      <x:c r="N16" s="108" t="n">
        <x:v>0</x:v>
      </x:c>
      <x:c r="O16" s="107" t="str">
        <x:v>BACKLOG</x:v>
      </x:c>
      <x:c r="P16" s="109" t="n">
        <x:f>IF(AND(E16="Sí",O16="ACEPTADA"),K16,0)</x:f>
        <x:v>0</x:v>
      </x:c>
      <x:c r="Q16" s="109" t="n">
        <x:f>IF(E16="Sí",K16*N16,0)</x:f>
        <x:v>0</x:v>
      </x:c>
      <x:c r="R16" s="104" t="str">
        <x:v>Una feature real respeta capas y la lógica de red no vive en widgets.</x:v>
      </x:c>
      <x:c r="S16" s="104" t="str">
        <x:v>Diagrama + PR</x:v>
      </x:c>
      <x:c r="T16" s="104" t="str">
        <x:v>PM3</x:v>
      </x:c>
      <x:c r="U16" s="107" t="str"/>
    </x:row>
    <x:row r="17">
      <x:c r="A17" s="104" t="str">
        <x:v>PMDM.ARCH.03</x:v>
      </x:c>
      <x:c r="B17" s="104" t="str">
        <x:v>Arquitectura Flutter</x:v>
      </x:c>
      <x:c r="C17" s="104" t="str">
        <x:v>Configurar navegación y guardas de autenticación</x:v>
      </x:c>
      <x:c r="D17" s="104" t="str">
        <x:v>OBL</x:v>
      </x:c>
      <x:c r="E17" s="107" t="str">
        <x:v>Sí</x:v>
      </x:c>
      <x:c r="F17" s="104" t="str">
        <x:v>H2</x:v>
      </x:c>
      <x:c r="G17" s="107" t="str"/>
      <x:c r="H17" s="104" t="n">
        <x:v>3</x:v>
      </x:c>
      <x:c r="I17" s="107" t="n">
        <x:v>3</x:v>
      </x:c>
      <x:c r="J17" s="107"/>
      <x:c r="K17" s="104" t="n">
        <x:v>1</x:v>
      </x:c>
      <x:c r="L17" s="107"/>
      <x:c r="M17" s="107" t="str"/>
      <x:c r="N17" s="108" t="n">
        <x:v>0</x:v>
      </x:c>
      <x:c r="O17" s="107" t="str">
        <x:v>BACKLOG</x:v>
      </x:c>
      <x:c r="P17" s="109" t="n">
        <x:f>IF(AND(E17="Sí",O17="ACEPTADA"),K17,0)</x:f>
        <x:v>0</x:v>
      </x:c>
      <x:c r="Q17" s="109" t="n">
        <x:f>IF(E17="Sí",K17*N17,0)</x:f>
        <x:v>0</x:v>
      </x:c>
      <x:c r="R17" s="104" t="str">
        <x:v>Rutas protegidas reaccionan a sesión válida/expirada sin loops ni crashes.</x:v>
      </x:c>
      <x:c r="S17" s="104" t="str">
        <x:v>Tests/demo navegación</x:v>
      </x:c>
      <x:c r="T17" s="104" t="str">
        <x:v>PM3; API auth</x:v>
      </x:c>
      <x:c r="U17" s="107" t="str"/>
    </x:row>
    <x:row r="18">
      <x:c r="A18" s="104" t="str">
        <x:v>PMDM.ARCH.04</x:v>
      </x:c>
      <x:c r="B18" s="104" t="str">
        <x:v>Arquitectura Flutter</x:v>
      </x:c>
      <x:c r="C18" s="104" t="str">
        <x:v>Definir estados comunes loading / empty / error / retry</x:v>
      </x:c>
      <x:c r="D18" s="104" t="str">
        <x:v>OBL</x:v>
      </x:c>
      <x:c r="E18" s="107" t="str">
        <x:v>Sí</x:v>
      </x:c>
      <x:c r="F18" s="104" t="str">
        <x:v>H2</x:v>
      </x:c>
      <x:c r="G18" s="107" t="str"/>
      <x:c r="H18" s="104" t="n">
        <x:v>3</x:v>
      </x:c>
      <x:c r="I18" s="107" t="n">
        <x:v>3</x:v>
      </x:c>
      <x:c r="J18" s="107"/>
      <x:c r="K18" s="104" t="n">
        <x:v>1</x:v>
      </x:c>
      <x:c r="L18" s="107"/>
      <x:c r="M18" s="107" t="str"/>
      <x:c r="N18" s="108" t="n">
        <x:v>0</x:v>
      </x:c>
      <x:c r="O18" s="107" t="str">
        <x:v>BACKLOG</x:v>
      </x:c>
      <x:c r="P18" s="109" t="n">
        <x:f>IF(AND(E18="Sí",O18="ACEPTADA"),K18,0)</x:f>
        <x:v>0</x:v>
      </x:c>
      <x:c r="Q18" s="109" t="n">
        <x:f>IF(E18="Sí",K18*N18,0)</x:f>
        <x:v>0</x:v>
      </x:c>
      <x:c r="R18" s="104" t="str">
        <x:v>Las pantallas críticas muestran estados explícitos y recuperables.</x:v>
      </x:c>
      <x:c r="S18" s="104" t="str">
        <x:v>Demo + tests estado</x:v>
      </x:c>
      <x:c r="T18" s="104" t="str">
        <x:v>PM3</x:v>
      </x:c>
      <x:c r="U18" s="107" t="str"/>
    </x:row>
    <x:row r="19">
      <x:c r="A19" s="104" t="str">
        <x:v>PMDM.AUTH.01</x:v>
      </x:c>
      <x:c r="B19" s="104" t="str">
        <x:v>Autenticación móvil</x:v>
      </x:c>
      <x:c r="C19" s="104" t="str">
        <x:v>Crear formulario de login con validación</x:v>
      </x:c>
      <x:c r="D19" s="104" t="str">
        <x:v>OBL</x:v>
      </x:c>
      <x:c r="E19" s="107" t="str">
        <x:v>Sí</x:v>
      </x:c>
      <x:c r="F19" s="104" t="str">
        <x:v>H3</x:v>
      </x:c>
      <x:c r="G19" s="107" t="str"/>
      <x:c r="H19" s="104" t="n">
        <x:v>3</x:v>
      </x:c>
      <x:c r="I19" s="107" t="n">
        <x:v>3</x:v>
      </x:c>
      <x:c r="J19" s="107"/>
      <x:c r="K19" s="104" t="n">
        <x:v>1</x:v>
      </x:c>
      <x:c r="L19" s="107"/>
      <x:c r="M19" s="107" t="str"/>
      <x:c r="N19" s="108" t="n">
        <x:v>0</x:v>
      </x:c>
      <x:c r="O19" s="107" t="str">
        <x:v>BACKLOG</x:v>
      </x:c>
      <x:c r="P19" s="109" t="n">
        <x:f>IF(AND(E19="Sí",O19="ACEPTADA"),K19,0)</x:f>
        <x:v>0</x:v>
      </x:c>
      <x:c r="Q19" s="109" t="n">
        <x:f>IF(E19="Sí",K19*N19,0)</x:f>
        <x:v>0</x:v>
      </x:c>
      <x:c r="R19" s="104" t="str">
        <x:v>Campos inválidos se detectan localmente y el submit evita duplicados.</x:v>
      </x:c>
      <x:c r="S19" s="104" t="str">
        <x:v>Widget test/demo</x:v>
      </x:c>
      <x:c r="T19" s="104" t="str">
        <x:v>AD.AUTH.02</x:v>
      </x:c>
      <x:c r="U19" s="107" t="str"/>
    </x:row>
    <x:row r="20">
      <x:c r="A20" s="104" t="str">
        <x:v>PMDM.AUTH.02</x:v>
      </x:c>
      <x:c r="B20" s="104" t="str">
        <x:v>Autenticación móvil</x:v>
      </x:c>
      <x:c r="C20" s="104" t="str">
        <x:v>Consumir login del backend y representar resultado</x:v>
      </x:c>
      <x:c r="D20" s="104" t="str">
        <x:v>OBL</x:v>
      </x:c>
      <x:c r="E20" s="107" t="str">
        <x:v>Sí</x:v>
      </x:c>
      <x:c r="F20" s="104" t="str">
        <x:v>H3</x:v>
      </x:c>
      <x:c r="G20" s="107" t="str"/>
      <x:c r="H20" s="104" t="n">
        <x:v>3</x:v>
      </x:c>
      <x:c r="I20" s="107" t="n">
        <x:v>3</x:v>
      </x:c>
      <x:c r="J20" s="107"/>
      <x:c r="K20" s="104" t="n">
        <x:v>1</x:v>
      </x:c>
      <x:c r="L20" s="107"/>
      <x:c r="M20" s="107" t="str"/>
      <x:c r="N20" s="108" t="n">
        <x:v>0</x:v>
      </x:c>
      <x:c r="O20" s="107" t="str">
        <x:v>BACKLOG</x:v>
      </x:c>
      <x:c r="P20" s="109" t="n">
        <x:f>IF(AND(E20="Sí",O20="ACEPTADA"),K20,0)</x:f>
        <x:v>0</x:v>
      </x:c>
      <x:c r="Q20" s="109" t="n">
        <x:f>IF(E20="Sí",K20*N20,0)</x:f>
        <x:v>0</x:v>
      </x:c>
      <x:c r="R20" s="104" t="str">
        <x:v>Login válido navega al área autenticada; error de API se muestra sin crash.</x:v>
      </x:c>
      <x:c r="S20" s="104" t="str">
        <x:v>Test ViewModel/repository</x:v>
      </x:c>
      <x:c r="T20" s="104" t="str">
        <x:v>AD.AUTH.02</x:v>
      </x:c>
      <x:c r="U20" s="107" t="str"/>
    </x:row>
    <x:row r="21">
      <x:c r="A21" s="104" t="str">
        <x:v>PMDM.AUTH.03</x:v>
      </x:c>
      <x:c r="B21" s="104" t="str">
        <x:v>Autenticación móvil</x:v>
      </x:c>
      <x:c r="C21" s="104" t="str">
        <x:v>Guardar credencial/token en almacenamiento seguro</x:v>
      </x:c>
      <x:c r="D21" s="104" t="str">
        <x:v>OBL</x:v>
      </x:c>
      <x:c r="E21" s="107" t="str">
        <x:v>Sí</x:v>
      </x:c>
      <x:c r="F21" s="104" t="str">
        <x:v>H3</x:v>
      </x:c>
      <x:c r="G21" s="107" t="str"/>
      <x:c r="H21" s="104" t="n">
        <x:v>3</x:v>
      </x:c>
      <x:c r="I21" s="107" t="n">
        <x:v>3</x:v>
      </x:c>
      <x:c r="J21" s="107"/>
      <x:c r="K21" s="104" t="n">
        <x:v>1</x:v>
      </x:c>
      <x:c r="L21" s="107"/>
      <x:c r="M21" s="107" t="str"/>
      <x:c r="N21" s="108" t="n">
        <x:v>0</x:v>
      </x:c>
      <x:c r="O21" s="107" t="str">
        <x:v>BACKLOG</x:v>
      </x:c>
      <x:c r="P21" s="109" t="n">
        <x:f>IF(AND(E21="Sí",O21="ACEPTADA"),K21,0)</x:f>
        <x:v>0</x:v>
      </x:c>
      <x:c r="Q21" s="109" t="n">
        <x:f>IF(E21="Sí",K21*N21,0)</x:f>
        <x:v>0</x:v>
      </x:c>
      <x:c r="R21" s="104" t="str">
        <x:v>La credencial sensible no se guarda en preferencias inseguras ni se imprime en logs.</x:v>
      </x:c>
      <x:c r="S21" s="104" t="str">
        <x:v>Revisión + prueba</x:v>
      </x:c>
      <x:c r="T21" s="104" t="str">
        <x:v>PM5/almacenamiento seguro</x:v>
      </x:c>
      <x:c r="U21" s="107" t="str"/>
    </x:row>
    <x:row r="22">
      <x:c r="A22" s="104" t="str">
        <x:v>PMDM.AUTH.04</x:v>
      </x:c>
      <x:c r="B22" s="104" t="str">
        <x:v>Autenticación móvil</x:v>
      </x:c>
      <x:c r="C22" s="104" t="str">
        <x:v>Restaurar sesión al abrir y permitir logout</x:v>
      </x:c>
      <x:c r="D22" s="104" t="str">
        <x:v>OBL</x:v>
      </x:c>
      <x:c r="E22" s="107" t="str">
        <x:v>Sí</x:v>
      </x:c>
      <x:c r="F22" s="104" t="str">
        <x:v>H3</x:v>
      </x:c>
      <x:c r="G22" s="107" t="str"/>
      <x:c r="H22" s="104" t="n">
        <x:v>3</x:v>
      </x:c>
      <x:c r="I22" s="107" t="n">
        <x:v>3</x:v>
      </x:c>
      <x:c r="J22" s="107"/>
      <x:c r="K22" s="104" t="n">
        <x:v>1</x:v>
      </x:c>
      <x:c r="L22" s="107"/>
      <x:c r="M22" s="107" t="str"/>
      <x:c r="N22" s="108" t="n">
        <x:v>0</x:v>
      </x:c>
      <x:c r="O22" s="107" t="str">
        <x:v>BACKLOG</x:v>
      </x:c>
      <x:c r="P22" s="109" t="n">
        <x:f>IF(AND(E22="Sí",O22="ACEPTADA"),K22,0)</x:f>
        <x:v>0</x:v>
      </x:c>
      <x:c r="Q22" s="109" t="n">
        <x:f>IF(E22="Sí",K22*N22,0)</x:f>
        <x:v>0</x:v>
      </x:c>
      <x:c r="R22" s="104" t="str">
        <x:v>La app restaura estado coherente y logout elimina el acceso local.</x:v>
      </x:c>
      <x:c r="S22" s="104" t="str">
        <x:v>Demo reinicio/logout</x:v>
      </x:c>
      <x:c r="T22" s="104" t="str">
        <x:v>PMDM.AUTH.03; AD.AUTH.04</x:v>
      </x:c>
      <x:c r="U22" s="107" t="str"/>
    </x:row>
    <x:row r="23">
      <x:c r="A23" s="104" t="str">
        <x:v>PMDM.AUTH.05</x:v>
      </x:c>
      <x:c r="B23" s="104" t="str">
        <x:v>Autenticación móvil</x:v>
      </x:c>
      <x:c r="C23" s="104" t="str">
        <x:v>Gestionar sesión expirada / respuesta 401</x:v>
      </x:c>
      <x:c r="D23" s="104" t="str">
        <x:v>OBL</x:v>
      </x:c>
      <x:c r="E23" s="107" t="str">
        <x:v>Sí</x:v>
      </x:c>
      <x:c r="F23" s="104" t="str">
        <x:v>H3</x:v>
      </x:c>
      <x:c r="G23" s="107" t="str"/>
      <x:c r="H23" s="104" t="n">
        <x:v>3</x:v>
      </x:c>
      <x:c r="I23" s="107" t="n">
        <x:v>3</x:v>
      </x:c>
      <x:c r="J23" s="107"/>
      <x:c r="K23" s="104" t="n">
        <x:v>1</x:v>
      </x:c>
      <x:c r="L23" s="107"/>
      <x:c r="M23" s="107" t="str"/>
      <x:c r="N23" s="108" t="n">
        <x:v>0</x:v>
      </x:c>
      <x:c r="O23" s="107" t="str">
        <x:v>BACKLOG</x:v>
      </x:c>
      <x:c r="P23" s="109" t="n">
        <x:f>IF(AND(E23="Sí",O23="ACEPTADA"),K23,0)</x:f>
        <x:v>0</x:v>
      </x:c>
      <x:c r="Q23" s="109" t="n">
        <x:f>IF(E23="Sí",K23*N23,0)</x:f>
        <x:v>0</x:v>
      </x:c>
      <x:c r="R23" s="104" t="str">
        <x:v>Un 401 limpia/renueva estado según diseño y devuelve a flujo válido.</x:v>
      </x:c>
      <x:c r="S23" s="104" t="str">
        <x:v>Test 401</x:v>
      </x:c>
      <x:c r="T23" s="104" t="str">
        <x:v>AD.AUTH.05</x:v>
      </x:c>
      <x:c r="U23" s="107" t="str"/>
    </x:row>
    <x:row r="24">
      <x:c r="A24" s="104" t="str">
        <x:v>PMDM.KAN.01</x:v>
      </x:c>
      <x:c r="B24" s="104" t="str">
        <x:v>Kanban Flutter</x:v>
      </x:c>
      <x:c r="C24" s="104" t="str">
        <x:v>Listar espacios y tableros autorizados</x:v>
      </x:c>
      <x:c r="D24" s="104" t="str">
        <x:v>OBL</x:v>
      </x:c>
      <x:c r="E24" s="107" t="str">
        <x:v>Sí</x:v>
      </x:c>
      <x:c r="F24" s="104" t="str">
        <x:v>H3</x:v>
      </x:c>
      <x:c r="G24" s="107" t="str"/>
      <x:c r="H24" s="104" t="n">
        <x:v>3</x:v>
      </x:c>
      <x:c r="I24" s="107" t="n">
        <x:v>3</x:v>
      </x:c>
      <x:c r="J24" s="107"/>
      <x:c r="K24" s="104" t="n">
        <x:v>1</x:v>
      </x:c>
      <x:c r="L24" s="107"/>
      <x:c r="M24" s="107" t="str"/>
      <x:c r="N24" s="108" t="n">
        <x:v>0</x:v>
      </x:c>
      <x:c r="O24" s="107" t="str">
        <x:v>BACKLOG</x:v>
      </x:c>
      <x:c r="P24" s="109" t="n">
        <x:f>IF(AND(E24="Sí",O24="ACEPTADA"),K24,0)</x:f>
        <x:v>0</x:v>
      </x:c>
      <x:c r="Q24" s="109" t="n">
        <x:f>IF(E24="Sí",K24*N24,0)</x:f>
        <x:v>0</x:v>
      </x:c>
      <x:c r="R24" s="104" t="str">
        <x:v>Solo aparecen recursos autorizados y loading/error/vacío se distinguen.</x:v>
      </x:c>
      <x:c r="S24" s="104" t="str">
        <x:v>Test + demo</x:v>
      </x:c>
      <x:c r="T24" s="104" t="str">
        <x:v>AD.SPACE.01; AD.KAN.01</x:v>
      </x:c>
      <x:c r="U24" s="107" t="str">
        <x:v>La API/backend puede ser común, pero este ítem solo se acepta por implementación y evidencia del cliente Flutter.</x:v>
      </x:c>
    </x:row>
    <x:row r="25">
      <x:c r="A25" s="104" t="str">
        <x:v>PMDM.KAN.02</x:v>
      </x:c>
      <x:c r="B25" s="104" t="str">
        <x:v>Kanban Flutter</x:v>
      </x:c>
      <x:c r="C25" s="104" t="str">
        <x:v>Mostrar tablero con columnas y tarjetas desde la API</x:v>
      </x:c>
      <x:c r="D25" s="104" t="str">
        <x:v>OBL</x:v>
      </x:c>
      <x:c r="E25" s="107" t="str">
        <x:v>Sí</x:v>
      </x:c>
      <x:c r="F25" s="104" t="str">
        <x:v>H3</x:v>
      </x:c>
      <x:c r="G25" s="107" t="str"/>
      <x:c r="H25" s="104" t="n">
        <x:v>5</x:v>
      </x:c>
      <x:c r="I25" s="107" t="n">
        <x:v>5</x:v>
      </x:c>
      <x:c r="J25" s="107"/>
      <x:c r="K25" s="104" t="n">
        <x:v>2</x:v>
      </x:c>
      <x:c r="L25" s="107"/>
      <x:c r="M25" s="107" t="str"/>
      <x:c r="N25" s="108" t="n">
        <x:v>0</x:v>
      </x:c>
      <x:c r="O25" s="107" t="str">
        <x:v>BACKLOG</x:v>
      </x:c>
      <x:c r="P25" s="109" t="n">
        <x:f>IF(AND(E25="Sí",O25="ACEPTADA"),K25,0)</x:f>
        <x:v>0</x:v>
      </x:c>
      <x:c r="Q25" s="109" t="n">
        <x:f>IF(E25="Sí",K25*N25,0)</x:f>
        <x:v>0</x:v>
      </x:c>
      <x:c r="R25" s="104" t="str">
        <x:v>La UI refleja datos reales de backend y respeta orden de columnas/tarjetas.</x:v>
      </x:c>
      <x:c r="S25" s="104" t="str">
        <x:v>Demo vertical</x:v>
      </x:c>
      <x:c r="T25" s="104" t="str">
        <x:v>AD.KAN.02; AD.KAN.03</x:v>
      </x:c>
      <x:c r="U25" s="107" t="str"/>
    </x:row>
    <x:row r="26">
      <x:c r="A26" s="104" t="str">
        <x:v>PMDM.KAN.03</x:v>
      </x:c>
      <x:c r="B26" s="104" t="str">
        <x:v>Kanban Flutter</x:v>
      </x:c>
      <x:c r="C26" s="104" t="str">
        <x:v>Crear y editar tarjeta desde la app</x:v>
      </x:c>
      <x:c r="D26" s="104" t="str">
        <x:v>OBL</x:v>
      </x:c>
      <x:c r="E26" s="107" t="str">
        <x:v>Sí</x:v>
      </x:c>
      <x:c r="F26" s="104" t="str">
        <x:v>H3</x:v>
      </x:c>
      <x:c r="G26" s="107" t="str"/>
      <x:c r="H26" s="104" t="n">
        <x:v>4</x:v>
      </x:c>
      <x:c r="I26" s="107" t="n">
        <x:v>4</x:v>
      </x:c>
      <x:c r="J26" s="107"/>
      <x:c r="K26" s="104" t="n">
        <x:v>2</x:v>
      </x:c>
      <x:c r="L26" s="107"/>
      <x:c r="M26" s="107" t="str"/>
      <x:c r="N26" s="108" t="n">
        <x:v>0</x:v>
      </x:c>
      <x:c r="O26" s="107" t="str">
        <x:v>BACKLOG</x:v>
      </x:c>
      <x:c r="P26" s="109" t="n">
        <x:f>IF(AND(E26="Sí",O26="ACEPTADA"),K26,0)</x:f>
        <x:v>0</x:v>
      </x:c>
      <x:c r="Q26" s="109" t="n">
        <x:f>IF(E26="Sí",K26*N26,0)</x:f>
        <x:v>0</x:v>
      </x:c>
      <x:c r="R26" s="104" t="str">
        <x:v>Formulario valida, persiste y actualiza estado sin duplicar fuente de verdad.</x:v>
      </x:c>
      <x:c r="S26" s="104" t="str">
        <x:v>Test ViewModel + demo</x:v>
      </x:c>
      <x:c r="T26" s="104" t="str">
        <x:v>AD.KAN.03</x:v>
      </x:c>
      <x:c r="U26" s="107" t="str"/>
    </x:row>
    <x:row r="27">
      <x:c r="A27" s="104" t="str">
        <x:v>PMDM.KAN.04</x:v>
      </x:c>
      <x:c r="B27" s="104" t="str">
        <x:v>Kanban Flutter</x:v>
      </x:c>
      <x:c r="C27" s="104" t="str">
        <x:v>Mover tarjeta entre columnas y persistir el cambio</x:v>
      </x:c>
      <x:c r="D27" s="104" t="str">
        <x:v>OBL</x:v>
      </x:c>
      <x:c r="E27" s="107" t="str">
        <x:v>Sí</x:v>
      </x:c>
      <x:c r="F27" s="104" t="str">
        <x:v>H3</x:v>
      </x:c>
      <x:c r="G27" s="107" t="str"/>
      <x:c r="H27" s="104" t="n">
        <x:v>5</x:v>
      </x:c>
      <x:c r="I27" s="107" t="n">
        <x:v>5</x:v>
      </x:c>
      <x:c r="J27" s="107"/>
      <x:c r="K27" s="104" t="n">
        <x:v>2</x:v>
      </x:c>
      <x:c r="L27" s="107"/>
      <x:c r="M27" s="107" t="str"/>
      <x:c r="N27" s="108" t="n">
        <x:v>0</x:v>
      </x:c>
      <x:c r="O27" s="107" t="str">
        <x:v>BACKLOG</x:v>
      </x:c>
      <x:c r="P27" s="109" t="n">
        <x:f>IF(AND(E27="Sí",O27="ACEPTADA"),K27,0)</x:f>
        <x:v>0</x:v>
      </x:c>
      <x:c r="Q27" s="109" t="n">
        <x:f>IF(E27="Sí",K27*N27,0)</x:f>
        <x:v>0</x:v>
      </x:c>
      <x:c r="R27" s="104" t="str">
        <x:v>Mover tarjeta actualiza backend y el estado se conserva al recargar.</x:v>
      </x:c>
      <x:c r="S27" s="104" t="str">
        <x:v>Demo + test</x:v>
      </x:c>
      <x:c r="T27" s="104" t="str">
        <x:v>AD.KAN.05</x:v>
      </x:c>
      <x:c r="U27" s="107" t="str"/>
    </x:row>
    <x:row r="28">
      <x:c r="A28" s="104" t="str">
        <x:v>PMDM.KAN.05</x:v>
      </x:c>
      <x:c r="B28" s="104" t="str">
        <x:v>Kanban Flutter</x:v>
      </x:c>
      <x:c r="C28" s="104" t="str">
        <x:v>Refrescar y verificar consistencia con un segundo cliente</x:v>
      </x:c>
      <x:c r="D28" s="104" t="str">
        <x:v>OBL</x:v>
      </x:c>
      <x:c r="E28" s="107" t="str">
        <x:v>Sí</x:v>
      </x:c>
      <x:c r="F28" s="104" t="str">
        <x:v>H3</x:v>
      </x:c>
      <x:c r="G28" s="107" t="str"/>
      <x:c r="H28" s="104" t="n">
        <x:v>3</x:v>
      </x:c>
      <x:c r="I28" s="107" t="n">
        <x:v>3</x:v>
      </x:c>
      <x:c r="J28" s="107"/>
      <x:c r="K28" s="104" t="n">
        <x:v>1</x:v>
      </x:c>
      <x:c r="L28" s="107"/>
      <x:c r="M28" s="107" t="str"/>
      <x:c r="N28" s="108" t="n">
        <x:v>0</x:v>
      </x:c>
      <x:c r="O28" s="107" t="str">
        <x:v>BACKLOG</x:v>
      </x:c>
      <x:c r="P28" s="109" t="n">
        <x:f>IF(AND(E28="Sí",O28="ACEPTADA"),K28,0)</x:f>
        <x:v>0</x:v>
      </x:c>
      <x:c r="Q28" s="109" t="n">
        <x:f>IF(E28="Sí",K28*N28,0)</x:f>
        <x:v>0</x:v>
      </x:c>
      <x:c r="R28" s="104" t="str">
        <x:v>Un cambio hecho fuera de Flutter aparece tras refrescar/reintentar según diseño.</x:v>
      </x:c>
      <x:c r="S28" s="104" t="str">
        <x:v>Demo dos clientes</x:v>
      </x:c>
      <x:c r="T28" s="104" t="str">
        <x:v>AD.KAN.06</x:v>
      </x:c>
      <x:c r="U28" s="107" t="str"/>
    </x:row>
    <x:row r="29">
      <x:c r="A29" s="104" t="str">
        <x:v>PMDM.KAN.06</x:v>
      </x:c>
      <x:c r="B29" s="104" t="str">
        <x:v>Kanban Flutter</x:v>
      </x:c>
      <x:c r="C29" s="104" t="str">
        <x:v>Implementar estados de error y reintento en el flujo Kanban</x:v>
      </x:c>
      <x:c r="D29" s="104" t="str">
        <x:v>OBL</x:v>
      </x:c>
      <x:c r="E29" s="107" t="str">
        <x:v>Sí</x:v>
      </x:c>
      <x:c r="F29" s="104" t="str">
        <x:v>H3</x:v>
      </x:c>
      <x:c r="G29" s="107" t="str"/>
      <x:c r="H29" s="104" t="n">
        <x:v>3</x:v>
      </x:c>
      <x:c r="I29" s="107" t="n">
        <x:v>3</x:v>
      </x:c>
      <x:c r="J29" s="107"/>
      <x:c r="K29" s="104" t="n">
        <x:v>1</x:v>
      </x:c>
      <x:c r="L29" s="107"/>
      <x:c r="M29" s="107" t="str"/>
      <x:c r="N29" s="108" t="n">
        <x:v>0</x:v>
      </x:c>
      <x:c r="O29" s="107" t="str">
        <x:v>BACKLOG</x:v>
      </x:c>
      <x:c r="P29" s="109" t="n">
        <x:f>IF(AND(E29="Sí",O29="ACEPTADA"),K29,0)</x:f>
        <x:v>0</x:v>
      </x:c>
      <x:c r="Q29" s="109" t="n">
        <x:f>IF(E29="Sí",K29*N29,0)</x:f>
        <x:v>0</x:v>
      </x:c>
      <x:c r="R29" s="104" t="str">
        <x:v>Error de red/servidor no deja pantalla bloqueada y permite reintento.</x:v>
      </x:c>
      <x:c r="S29" s="104" t="str">
        <x:v>Test error/retry</x:v>
      </x:c>
      <x:c r="T29" s="104" t="str">
        <x:v>PMDM.ARCH.04</x:v>
      </x:c>
      <x:c r="U29" s="107" t="str"/>
    </x:row>
    <x:row r="30">
      <x:c r="A30" s="104" t="str">
        <x:v>PMDM.KAN.07</x:v>
      </x:c>
      <x:c r="B30" s="104" t="str">
        <x:v>Kanban Flutter</x:v>
      </x:c>
      <x:c r="C30" s="104" t="str">
        <x:v>Crear tests de ViewModel/Repository para el flujo Kanban</x:v>
      </x:c>
      <x:c r="D30" s="104" t="str">
        <x:v>OBL</x:v>
      </x:c>
      <x:c r="E30" s="107" t="str">
        <x:v>Sí</x:v>
      </x:c>
      <x:c r="F30" s="104" t="str">
        <x:v>H3</x:v>
      </x:c>
      <x:c r="G30" s="107" t="str"/>
      <x:c r="H30" s="104" t="n">
        <x:v>4</x:v>
      </x:c>
      <x:c r="I30" s="107" t="n">
        <x:v>4</x:v>
      </x:c>
      <x:c r="J30" s="107"/>
      <x:c r="K30" s="104" t="n">
        <x:v>1</x:v>
      </x:c>
      <x:c r="L30" s="107"/>
      <x:c r="M30" s="107" t="str"/>
      <x:c r="N30" s="108" t="n">
        <x:v>0</x:v>
      </x:c>
      <x:c r="O30" s="107" t="str">
        <x:v>BACKLOG</x:v>
      </x:c>
      <x:c r="P30" s="109" t="n">
        <x:f>IF(AND(E30="Sí",O30="ACEPTADA"),K30,0)</x:f>
        <x:v>0</x:v>
      </x:c>
      <x:c r="Q30" s="109" t="n">
        <x:f>IF(E30="Sí",K30*N30,0)</x:f>
        <x:v>0</x:v>
      </x:c>
      <x:c r="R30" s="104" t="str">
        <x:v>Casos éxito/error cubren operaciones esenciales sin depender de UI real.</x:v>
      </x:c>
      <x:c r="S30" s="104" t="str">
        <x:v>Suite tests</x:v>
      </x:c>
      <x:c r="T30" s="104" t="str">
        <x:v>PMDM.KAN.01..06</x:v>
      </x:c>
      <x:c r="U30" s="107" t="str">
        <x:v>No puede validarse con la misma evidencia que PMDM.QA.02: este ítem exige pruebas específicas del flujo Kanban.</x:v>
      </x:c>
    </x:row>
    <x:row r="31">
      <x:c r="A31" s="104" t="str">
        <x:v>PMDM.QA.01</x:v>
      </x:c>
      <x:c r="B31" s="104" t="str">
        <x:v>Calidad Flutter</x:v>
      </x:c>
      <x:c r="C31" s="104" t="str">
        <x:v>Ejecutar flutter analyze sin errores bloqueantes</x:v>
      </x:c>
      <x:c r="D31" s="104" t="str">
        <x:v>OBL</x:v>
      </x:c>
      <x:c r="E31" s="107" t="str">
        <x:v>Sí</x:v>
      </x:c>
      <x:c r="F31" s="104" t="str">
        <x:v>H4</x:v>
      </x:c>
      <x:c r="G31" s="107" t="str"/>
      <x:c r="H31" s="104" t="n">
        <x:v>2</x:v>
      </x:c>
      <x:c r="I31" s="107" t="n">
        <x:v>2</x:v>
      </x:c>
      <x:c r="J31" s="107"/>
      <x:c r="K31" s="104" t="n">
        <x:v>1</x:v>
      </x:c>
      <x:c r="L31" s="107"/>
      <x:c r="M31" s="107" t="str"/>
      <x:c r="N31" s="108" t="n">
        <x:v>0</x:v>
      </x:c>
      <x:c r="O31" s="107" t="str">
        <x:v>BACKLOG</x:v>
      </x:c>
      <x:c r="P31" s="109" t="n">
        <x:f>IF(AND(E31="Sí",O31="ACEPTADA"),K31,0)</x:f>
        <x:v>0</x:v>
      </x:c>
      <x:c r="Q31" s="109" t="n">
        <x:f>IF(E31="Sí",K31*N31,0)</x:f>
        <x:v>0</x:v>
      </x:c>
      <x:c r="R31" s="104" t="str">
        <x:v>Analyze pasa en local/CI según reglas del módulo.</x:v>
      </x:c>
      <x:c r="S31" s="104" t="str">
        <x:v>Log CI/local</x:v>
      </x:c>
      <x:c r="T31" s="104" t="str">
        <x:v>PM6</x:v>
      </x:c>
      <x:c r="U31" s="107" t="str"/>
    </x:row>
    <x:row r="32">
      <x:c r="A32" s="104" t="str">
        <x:v>PMDM.QA.02</x:v>
      </x:c>
      <x:c r="B32" s="104" t="str">
        <x:v>Calidad Flutter</x:v>
      </x:c>
      <x:c r="C32" s="104" t="str">
        <x:v>Crear tests unitarios adicionales fuera del flujo Kanban (autenticación, sesión o servicios compartidos)</x:v>
      </x:c>
      <x:c r="D32" s="104" t="str">
        <x:v>OBL</x:v>
      </x:c>
      <x:c r="E32" s="107" t="str">
        <x:v>Sí</x:v>
      </x:c>
      <x:c r="F32" s="104" t="str">
        <x:v>H4</x:v>
      </x:c>
      <x:c r="G32" s="107" t="str"/>
      <x:c r="H32" s="104" t="n">
        <x:v>3</x:v>
      </x:c>
      <x:c r="I32" s="107" t="n">
        <x:v>3</x:v>
      </x:c>
      <x:c r="J32" s="107"/>
      <x:c r="K32" s="104" t="n">
        <x:v>1</x:v>
      </x:c>
      <x:c r="L32" s="107"/>
      <x:c r="M32" s="107" t="str"/>
      <x:c r="N32" s="108" t="n">
        <x:v>0</x:v>
      </x:c>
      <x:c r="O32" s="107" t="str">
        <x:v>BACKLOG</x:v>
      </x:c>
      <x:c r="P32" s="109" t="n">
        <x:f>IF(AND(E32="Sí",O32="ACEPTADA"),K32,0)</x:f>
        <x:v>0</x:v>
      </x:c>
      <x:c r="Q32" s="109" t="n">
        <x:f>IF(E32="Sí",K32*N32,0)</x:f>
        <x:v>0</x:v>
      </x:c>
      <x:c r="R32" s="104" t="str">
        <x:v>Existe una suite unitaria adicional a PMDM.KAN.07 que cubre autenticación/sesión o servicios compartidos; no se reutiliza el mismo test para validar ambos ítems.</x:v>
      </x:c>
      <x:c r="S32" s="104" t="str">
        <x:v>Tests</x:v>
      </x:c>
      <x:c r="T32" s="104" t="str">
        <x:v>PM6</x:v>
      </x:c>
      <x:c r="U32" s="107" t="str"/>
    </x:row>
    <x:row r="33">
      <x:c r="A33" s="104" t="str">
        <x:v>PMDM.QA.03</x:v>
      </x:c>
      <x:c r="B33" s="104" t="str">
        <x:v>Calidad Flutter</x:v>
      </x:c>
      <x:c r="C33" s="104" t="str">
        <x:v>Crear al menos un widget test de flujo crítico</x:v>
      </x:c>
      <x:c r="D33" s="104" t="str">
        <x:v>OBL</x:v>
      </x:c>
      <x:c r="E33" s="107" t="str">
        <x:v>Sí</x:v>
      </x:c>
      <x:c r="F33" s="104" t="str">
        <x:v>H4</x:v>
      </x:c>
      <x:c r="G33" s="107" t="str"/>
      <x:c r="H33" s="104" t="n">
        <x:v>3</x:v>
      </x:c>
      <x:c r="I33" s="107" t="n">
        <x:v>3</x:v>
      </x:c>
      <x:c r="J33" s="107"/>
      <x:c r="K33" s="104" t="n">
        <x:v>1</x:v>
      </x:c>
      <x:c r="L33" s="107"/>
      <x:c r="M33" s="107" t="str"/>
      <x:c r="N33" s="108" t="n">
        <x:v>0</x:v>
      </x:c>
      <x:c r="O33" s="107" t="str">
        <x:v>BACKLOG</x:v>
      </x:c>
      <x:c r="P33" s="109" t="n">
        <x:f>IF(AND(E33="Sí",O33="ACEPTADA"),K33,0)</x:f>
        <x:v>0</x:v>
      </x:c>
      <x:c r="Q33" s="109" t="n">
        <x:f>IF(E33="Sí",K33*N33,0)</x:f>
        <x:v>0</x:v>
      </x:c>
      <x:c r="R33" s="104" t="str">
        <x:v>El test reproduce interacción relevante y valida estado visible.</x:v>
      </x:c>
      <x:c r="S33" s="104" t="str">
        <x:v>Widget test</x:v>
      </x:c>
      <x:c r="T33" s="104" t="str">
        <x:v>PM6</x:v>
      </x:c>
      <x:c r="U33" s="107" t="str"/>
    </x:row>
    <x:row r="34">
      <x:c r="A34" s="104" t="str">
        <x:v>PMDM.QA.04</x:v>
      </x:c>
      <x:c r="B34" s="104" t="str">
        <x:v>Calidad Flutter</x:v>
      </x:c>
      <x:c r="C34" s="104" t="str">
        <x:v>Generar build reproducible para Android</x:v>
      </x:c>
      <x:c r="D34" s="104" t="str">
        <x:v>OBL</x:v>
      </x:c>
      <x:c r="E34" s="107" t="str">
        <x:v>Sí</x:v>
      </x:c>
      <x:c r="F34" s="104" t="str">
        <x:v>H4</x:v>
      </x:c>
      <x:c r="G34" s="107" t="str"/>
      <x:c r="H34" s="104" t="n">
        <x:v>2</x:v>
      </x:c>
      <x:c r="I34" s="107" t="n">
        <x:v>2</x:v>
      </x:c>
      <x:c r="J34" s="107"/>
      <x:c r="K34" s="104" t="n">
        <x:v>1</x:v>
      </x:c>
      <x:c r="L34" s="107"/>
      <x:c r="M34" s="107" t="str"/>
      <x:c r="N34" s="108" t="n">
        <x:v>0</x:v>
      </x:c>
      <x:c r="O34" s="107" t="str">
        <x:v>BACKLOG</x:v>
      </x:c>
      <x:c r="P34" s="109" t="n">
        <x:f>IF(AND(E34="Sí",O34="ACEPTADA"),K34,0)</x:f>
        <x:v>0</x:v>
      </x:c>
      <x:c r="Q34" s="109" t="n">
        <x:f>IF(E34="Sí",K34*N34,0)</x:f>
        <x:v>0</x:v>
      </x:c>
      <x:c r="R34" s="104" t="str">
        <x:v>El build se genera desde instrucciones versionadas en entorno limpio razonable.</x:v>
      </x:c>
      <x:c r="S34" s="104" t="str">
        <x:v>Artefacto/build log</x:v>
      </x:c>
      <x:c r="T34" s="104" t="str">
        <x:v>PM6</x:v>
      </x:c>
      <x:c r="U34" s="107" t="str"/>
    </x:row>
    <x:row r="35">
      <x:c r="A35" s="104" t="str">
        <x:v>PMDM.QA.05</x:v>
      </x:c>
      <x:c r="B35" s="104" t="str">
        <x:v>Calidad Flutter</x:v>
      </x:c>
      <x:c r="C35" s="104" t="str">
        <x:v>Configurar CI con analyze, tests y build acordado</x:v>
      </x:c>
      <x:c r="D35" s="104" t="str">
        <x:v>OBL</x:v>
      </x:c>
      <x:c r="E35" s="107" t="str">
        <x:v>Sí</x:v>
      </x:c>
      <x:c r="F35" s="104" t="str">
        <x:v>H4</x:v>
      </x:c>
      <x:c r="G35" s="107" t="str"/>
      <x:c r="H35" s="104" t="n">
        <x:v>3</x:v>
      </x:c>
      <x:c r="I35" s="107" t="n">
        <x:v>3</x:v>
      </x:c>
      <x:c r="J35" s="107"/>
      <x:c r="K35" s="104" t="n">
        <x:v>1</x:v>
      </x:c>
      <x:c r="L35" s="107"/>
      <x:c r="M35" s="107" t="str"/>
      <x:c r="N35" s="108" t="n">
        <x:v>0</x:v>
      </x:c>
      <x:c r="O35" s="107" t="str">
        <x:v>BACKLOG</x:v>
      </x:c>
      <x:c r="P35" s="109" t="n">
        <x:f>IF(AND(E35="Sí",O35="ACEPTADA"),K35,0)</x:f>
        <x:v>0</x:v>
      </x:c>
      <x:c r="Q35" s="109" t="n">
        <x:f>IF(E35="Sí",K35*N35,0)</x:f>
        <x:v>0</x:v>
      </x:c>
      <x:c r="R35" s="104" t="str">
        <x:v>La CI falla ante error y deja evidencia asociada a PR/commit.</x:v>
      </x:c>
      <x:c r="S35" s="104" t="str">
        <x:v>Workflow + run</x:v>
      </x:c>
      <x:c r="T35" s="104" t="str">
        <x:v>PM6</x:v>
      </x:c>
      <x:c r="U35" s="107" t="str"/>
    </x:row>
    <x:row r="36">
      <x:c r="A36" s="104" t="str">
        <x:v>PMDM.UI.01</x:v>
      </x:c>
      <x:c r="B36" s="104" t="str">
        <x:v>UI adaptable</x:v>
      </x:c>
      <x:c r="C36" s="104" t="str">
        <x:v>Crear navegación adaptable para móvil/tablet</x:v>
      </x:c>
      <x:c r="D36" s="104" t="str">
        <x:v>OPT</x:v>
      </x:c>
      <x:c r="E36" s="107" t="str">
        <x:v>No</x:v>
      </x:c>
      <x:c r="F36" s="104" t="str">
        <x:v>H3</x:v>
      </x:c>
      <x:c r="G36" s="107" t="str"/>
      <x:c r="H36" s="104" t="n">
        <x:v>5</x:v>
      </x:c>
      <x:c r="I36" s="107" t="n">
        <x:v>5</x:v>
      </x:c>
      <x:c r="J36" s="107"/>
      <x:c r="K36" s="104" t="n">
        <x:v>4</x:v>
      </x:c>
      <x:c r="L36" s="107"/>
      <x:c r="M36" s="107" t="str"/>
      <x:c r="N36" s="108" t="n">
        <x:v>0</x:v>
      </x:c>
      <x:c r="O36" s="107" t="str">
        <x:v>NO CONTRATADA</x:v>
      </x:c>
      <x:c r="P36" s="109" t="n">
        <x:f>IF(AND(E36="Sí",O36="ACEPTADA"),K36,0)</x:f>
        <x:v>0</x:v>
      </x:c>
      <x:c r="Q36" s="109" t="n">
        <x:f>IF(E36="Sí",K36*N36,0)</x:f>
        <x:v>0</x:v>
      </x:c>
      <x:c r="R36" s="104" t="str">
        <x:v>La navegación se adapta a al menos dos tamaños sin duplicar lógica.</x:v>
      </x:c>
      <x:c r="S36" s="104" t="str">
        <x:v>Demo + test</x:v>
      </x:c>
      <x:c r="T36" s="104" t="str">
        <x:v>PM3</x:v>
      </x:c>
      <x:c r="U36" s="107" t="str"/>
    </x:row>
    <x:row r="37">
      <x:c r="A37" s="104" t="str">
        <x:v>PMDM.UI.02</x:v>
      </x:c>
      <x:c r="B37" s="104" t="str">
        <x:v>UI adaptable</x:v>
      </x:c>
      <x:c r="C37" s="104" t="str">
        <x:v>Implementar tema claro/oscuro y componentes consistentes</x:v>
      </x:c>
      <x:c r="D37" s="104" t="str">
        <x:v>OPT</x:v>
      </x:c>
      <x:c r="E37" s="107" t="str">
        <x:v>No</x:v>
      </x:c>
      <x:c r="F37" s="104" t="str">
        <x:v>H3</x:v>
      </x:c>
      <x:c r="G37" s="107" t="str"/>
      <x:c r="H37" s="104" t="n">
        <x:v>4</x:v>
      </x:c>
      <x:c r="I37" s="107" t="n">
        <x:v>4</x:v>
      </x:c>
      <x:c r="J37" s="107"/>
      <x:c r="K37" s="104" t="n">
        <x:v>2</x:v>
      </x:c>
      <x:c r="L37" s="107"/>
      <x:c r="M37" s="107" t="str"/>
      <x:c r="N37" s="108" t="n">
        <x:v>0</x:v>
      </x:c>
      <x:c r="O37" s="107" t="str">
        <x:v>NO CONTRATADA</x:v>
      </x:c>
      <x:c r="P37" s="109" t="n">
        <x:f>IF(AND(E37="Sí",O37="ACEPTADA"),K37,0)</x:f>
        <x:v>0</x:v>
      </x:c>
      <x:c r="Q37" s="109" t="n">
        <x:f>IF(E37="Sí",K37*N37,0)</x:f>
        <x:v>0</x:v>
      </x:c>
      <x:c r="R37" s="104" t="str">
        <x:v>Tema persiste y componentes mantienen contraste/consistencia.</x:v>
      </x:c>
      <x:c r="S37" s="104" t="str">
        <x:v>Demo</x:v>
      </x:c>
      <x:c r="T37" s="104" t="str">
        <x:v>PM3</x:v>
      </x:c>
      <x:c r="U37" s="107" t="str"/>
    </x:row>
    <x:row r="38">
      <x:c r="A38" s="104" t="str">
        <x:v>PMDM.OFF.01</x:v>
      </x:c>
      <x:c r="B38" s="104" t="str">
        <x:v>Offline</x:v>
      </x:c>
      <x:c r="C38" s="104" t="str">
        <x:v>Añadir caché local de lectura para tableros/tarjetas</x:v>
      </x:c>
      <x:c r="D38" s="104" t="str">
        <x:v>OPT</x:v>
      </x:c>
      <x:c r="E38" s="107" t="str">
        <x:v>No</x:v>
      </x:c>
      <x:c r="F38" s="104" t="str">
        <x:v>H4</x:v>
      </x:c>
      <x:c r="G38" s="107" t="str"/>
      <x:c r="H38" s="104" t="n">
        <x:v>6</x:v>
      </x:c>
      <x:c r="I38" s="107" t="n">
        <x:v>6</x:v>
      </x:c>
      <x:c r="J38" s="107"/>
      <x:c r="K38" s="104" t="n">
        <x:v>4</x:v>
      </x:c>
      <x:c r="L38" s="107"/>
      <x:c r="M38" s="107" t="str"/>
      <x:c r="N38" s="108" t="n">
        <x:v>0</x:v>
      </x:c>
      <x:c r="O38" s="107" t="str">
        <x:v>NO CONTRATADA</x:v>
      </x:c>
      <x:c r="P38" s="109" t="n">
        <x:f>IF(AND(E38="Sí",O38="ACEPTADA"),K38,0)</x:f>
        <x:v>0</x:v>
      </x:c>
      <x:c r="Q38" s="109" t="n">
        <x:f>IF(E38="Sí",K38*N38,0)</x:f>
        <x:v>0</x:v>
      </x:c>
      <x:c r="R38" s="104" t="str">
        <x:v>Sin red se muestran datos cacheados claramente marcados como no actuales.</x:v>
      </x:c>
      <x:c r="S38" s="104" t="str">
        <x:v>Prueba sin red</x:v>
      </x:c>
      <x:c r="T38" s="104" t="str">
        <x:v>PMDM.KAN.02</x:v>
      </x:c>
      <x:c r="U38" s="107" t="str"/>
    </x:row>
    <x:row r="39">
      <x:c r="A39" s="104" t="str">
        <x:v>PMDM.OFF.02</x:v>
      </x:c>
      <x:c r="B39" s="104" t="str">
        <x:v>Offline</x:v>
      </x:c>
      <x:c r="C39" s="104" t="str">
        <x:v>Implementar cola de cambios y sincronización al recuperar conexión</x:v>
      </x:c>
      <x:c r="D39" s="104" t="str">
        <x:v>ADV</x:v>
      </x:c>
      <x:c r="E39" s="107" t="str">
        <x:v>No</x:v>
      </x:c>
      <x:c r="F39" s="104" t="str">
        <x:v>H4</x:v>
      </x:c>
      <x:c r="G39" s="107" t="str"/>
      <x:c r="H39" s="104" t="n">
        <x:v>8</x:v>
      </x:c>
      <x:c r="I39" s="107" t="n">
        <x:v>8</x:v>
      </x:c>
      <x:c r="J39" s="107"/>
      <x:c r="K39" s="104" t="n">
        <x:v>5</x:v>
      </x:c>
      <x:c r="L39" s="107"/>
      <x:c r="M39" s="107" t="str"/>
      <x:c r="N39" s="108" t="n">
        <x:v>0</x:v>
      </x:c>
      <x:c r="O39" s="107" t="str">
        <x:v>NO CONTRATADA</x:v>
      </x:c>
      <x:c r="P39" s="109" t="n">
        <x:f>IF(AND(E39="Sí",O39="ACEPTADA"),K39,0)</x:f>
        <x:v>0</x:v>
      </x:c>
      <x:c r="Q39" s="109" t="n">
        <x:f>IF(E39="Sí",K39*N39,0)</x:f>
        <x:v>0</x:v>
      </x:c>
      <x:c r="R39" s="104" t="str">
        <x:v>Cambios offline se sincronizan sin perder ni duplicar operaciones.</x:v>
      </x:c>
      <x:c r="S39" s="104" t="str">
        <x:v>Pruebas desconexión/conflicto</x:v>
      </x:c>
      <x:c r="T39" s="104" t="str">
        <x:v>PMDM.OFF.01; backend compatible</x:v>
      </x:c>
      <x:c r="U39" s="107" t="str"/>
    </x:row>
    <x:row r="40">
      <x:c r="A40" s="104" t="str">
        <x:v>PMDM.MEDIA.01</x:v>
      </x:c>
      <x:c r="B40" s="104" t="str">
        <x:v>Dispositivo y multimedia</x:v>
      </x:c>
      <x:c r="C40" s="104" t="str">
        <x:v>Capturar o seleccionar imagen desde dispositivo</x:v>
      </x:c>
      <x:c r="D40" s="104" t="str">
        <x:v>OPT</x:v>
      </x:c>
      <x:c r="E40" s="107" t="str">
        <x:v>No</x:v>
      </x:c>
      <x:c r="F40" s="104" t="str">
        <x:v>H4</x:v>
      </x:c>
      <x:c r="G40" s="107" t="str"/>
      <x:c r="H40" s="104" t="n">
        <x:v>5</x:v>
      </x:c>
      <x:c r="I40" s="107" t="n">
        <x:v>5</x:v>
      </x:c>
      <x:c r="J40" s="107"/>
      <x:c r="K40" s="104" t="n">
        <x:v>3</x:v>
      </x:c>
      <x:c r="L40" s="107"/>
      <x:c r="M40" s="107" t="str"/>
      <x:c r="N40" s="108" t="n">
        <x:v>0</x:v>
      </x:c>
      <x:c r="O40" s="107" t="str">
        <x:v>NO CONTRATADA</x:v>
      </x:c>
      <x:c r="P40" s="109" t="n">
        <x:f>IF(AND(E40="Sí",O40="ACEPTADA"),K40,0)</x:f>
        <x:v>0</x:v>
      </x:c>
      <x:c r="Q40" s="109" t="n">
        <x:f>IF(E40="Sí",K40*N40,0)</x:f>
        <x:v>0</x:v>
      </x:c>
      <x:c r="R40" s="104" t="str">
        <x:v>Se obtiene medio real y cancelación/error no bloquea la app.</x:v>
      </x:c>
      <x:c r="S40" s="104" t="str">
        <x:v>Demo dispositivo</x:v>
      </x:c>
      <x:c r="T40" s="104" t="str">
        <x:v>PM5</x:v>
      </x:c>
      <x:c r="U40" s="107" t="str"/>
    </x:row>
    <x:row r="41">
      <x:c r="A41" s="104" t="str">
        <x:v>PMDM.MEDIA.02</x:v>
      </x:c>
      <x:c r="B41" s="104" t="str">
        <x:v>Dispositivo y multimedia</x:v>
      </x:c>
      <x:c r="C41" s="104" t="str">
        <x:v>Gestionar permisos concedido/denegado permanentemente</x:v>
      </x:c>
      <x:c r="D41" s="104" t="str">
        <x:v>OPT</x:v>
      </x:c>
      <x:c r="E41" s="107" t="str">
        <x:v>No</x:v>
      </x:c>
      <x:c r="F41" s="104" t="str">
        <x:v>H4</x:v>
      </x:c>
      <x:c r="G41" s="107" t="str"/>
      <x:c r="H41" s="104" t="n">
        <x:v>4</x:v>
      </x:c>
      <x:c r="I41" s="107" t="n">
        <x:v>4</x:v>
      </x:c>
      <x:c r="J41" s="107"/>
      <x:c r="K41" s="104" t="n">
        <x:v>2</x:v>
      </x:c>
      <x:c r="L41" s="107"/>
      <x:c r="M41" s="107" t="str"/>
      <x:c r="N41" s="108" t="n">
        <x:v>0</x:v>
      </x:c>
      <x:c r="O41" s="107" t="str">
        <x:v>NO CONTRATADA</x:v>
      </x:c>
      <x:c r="P41" s="109" t="n">
        <x:f>IF(AND(E41="Sí",O41="ACEPTADA"),K41,0)</x:f>
        <x:v>0</x:v>
      </x:c>
      <x:c r="Q41" s="109" t="n">
        <x:f>IF(E41="Sí",K41*N41,0)</x:f>
        <x:v>0</x:v>
      </x:c>
      <x:c r="R41" s="104" t="str">
        <x:v>Cada estado de permiso tiene respuesta comprensible y recuperable.</x:v>
      </x:c>
      <x:c r="S41" s="104" t="str">
        <x:v>Prueba permisos</x:v>
      </x:c>
      <x:c r="T41" s="104" t="str">
        <x:v>PM5</x:v>
      </x:c>
      <x:c r="U41" s="107" t="str"/>
    </x:row>
    <x:row r="42">
      <x:c r="A42" s="104" t="str">
        <x:v>PMDM.MEDIA.03</x:v>
      </x:c>
      <x:c r="B42" s="104" t="str">
        <x:v>Dispositivo y multimedia</x:v>
      </x:c>
      <x:c r="C42" s="104" t="str">
        <x:v>Subir adjunto a tarjeta y mostrar progreso/error</x:v>
      </x:c>
      <x:c r="D42" s="104" t="str">
        <x:v>OPT</x:v>
      </x:c>
      <x:c r="E42" s="107" t="str">
        <x:v>No</x:v>
      </x:c>
      <x:c r="F42" s="104" t="str">
        <x:v>H4</x:v>
      </x:c>
      <x:c r="G42" s="107" t="str"/>
      <x:c r="H42" s="104" t="n">
        <x:v>6</x:v>
      </x:c>
      <x:c r="I42" s="107" t="n">
        <x:v>6</x:v>
      </x:c>
      <x:c r="J42" s="107"/>
      <x:c r="K42" s="104" t="n">
        <x:v>4</x:v>
      </x:c>
      <x:c r="L42" s="107"/>
      <x:c r="M42" s="107" t="str"/>
      <x:c r="N42" s="108" t="n">
        <x:v>0</x:v>
      </x:c>
      <x:c r="O42" s="107" t="str">
        <x:v>NO CONTRATADA</x:v>
      </x:c>
      <x:c r="P42" s="109" t="n">
        <x:f>IF(AND(E42="Sí",O42="ACEPTADA"),K42,0)</x:f>
        <x:v>0</x:v>
      </x:c>
      <x:c r="Q42" s="109" t="n">
        <x:f>IF(E42="Sí",K42*N42,0)</x:f>
        <x:v>0</x:v>
      </x:c>
      <x:c r="R42" s="104" t="str">
        <x:v>El adjunto llega a backend, valida tamaño/tipo y la UI maneja error.</x:v>
      </x:c>
      <x:c r="S42" s="104" t="str">
        <x:v>Demo + test</x:v>
      </x:c>
      <x:c r="T42" s="104" t="str">
        <x:v>AD.FILE.01</x:v>
      </x:c>
      <x:c r="U42" s="107" t="str"/>
    </x:row>
    <x:row r="43">
      <x:c r="A43" s="104" t="str">
        <x:v>PMDM.NOT.01</x:v>
      </x:c>
      <x:c r="B43" s="104" t="str">
        <x:v>Notificaciones</x:v>
      </x:c>
      <x:c r="C43" s="104" t="str">
        <x:v>Recibir notificación asociada a una tarea/evento</x:v>
      </x:c>
      <x:c r="D43" s="104" t="str">
        <x:v>ADV</x:v>
      </x:c>
      <x:c r="E43" s="107" t="str">
        <x:v>No</x:v>
      </x:c>
      <x:c r="F43" s="104" t="str">
        <x:v>H4</x:v>
      </x:c>
      <x:c r="G43" s="107" t="str"/>
      <x:c r="H43" s="104" t="n">
        <x:v>6</x:v>
      </x:c>
      <x:c r="I43" s="107" t="n">
        <x:v>6</x:v>
      </x:c>
      <x:c r="J43" s="107"/>
      <x:c r="K43" s="104" t="n">
        <x:v>4</x:v>
      </x:c>
      <x:c r="L43" s="107"/>
      <x:c r="M43" s="107" t="str"/>
      <x:c r="N43" s="108" t="n">
        <x:v>0</x:v>
      </x:c>
      <x:c r="O43" s="107" t="str">
        <x:v>NO CONTRATADA</x:v>
      </x:c>
      <x:c r="P43" s="109" t="n">
        <x:f>IF(AND(E43="Sí",O43="ACEPTADA"),K43,0)</x:f>
        <x:v>0</x:v>
      </x:c>
      <x:c r="Q43" s="109" t="n">
        <x:f>IF(E43="Sí",K43*N43,0)</x:f>
        <x:v>0</x:v>
      </x:c>
      <x:c r="R43" s="104" t="str">
        <x:v>La notificación llega al usuario correcto sin romper uso básico si falla.</x:v>
      </x:c>
      <x:c r="S43" s="104" t="str">
        <x:v>Demo end-to-end</x:v>
      </x:c>
      <x:c r="T43" s="104" t="str">
        <x:v>Backend/PSP de notificaciones</x:v>
      </x:c>
      <x:c r="U43" s="107" t="str"/>
    </x:row>
    <x:row r="44">
      <x:c r="A44" s="104" t="str">
        <x:v>PMDM.NOT.02</x:v>
      </x:c>
      <x:c r="B44" s="104" t="str">
        <x:v>Notificaciones</x:v>
      </x:c>
      <x:c r="C44" s="104" t="str">
        <x:v>Abrir recurso mediante deep link desde una notificación</x:v>
      </x:c>
      <x:c r="D44" s="104" t="str">
        <x:v>ADV</x:v>
      </x:c>
      <x:c r="E44" s="107" t="str">
        <x:v>No</x:v>
      </x:c>
      <x:c r="F44" s="104" t="str">
        <x:v>H4</x:v>
      </x:c>
      <x:c r="G44" s="107" t="str"/>
      <x:c r="H44" s="104" t="n">
        <x:v>4</x:v>
      </x:c>
      <x:c r="I44" s="107" t="n">
        <x:v>4</x:v>
      </x:c>
      <x:c r="J44" s="107"/>
      <x:c r="K44" s="104" t="n">
        <x:v>3</x:v>
      </x:c>
      <x:c r="L44" s="107"/>
      <x:c r="M44" s="107" t="str"/>
      <x:c r="N44" s="108" t="n">
        <x:v>0</x:v>
      </x:c>
      <x:c r="O44" s="107" t="str">
        <x:v>NO CONTRATADA</x:v>
      </x:c>
      <x:c r="P44" s="109" t="n">
        <x:f>IF(AND(E44="Sí",O44="ACEPTADA"),K44,0)</x:f>
        <x:v>0</x:v>
      </x:c>
      <x:c r="Q44" s="109" t="n">
        <x:f>IF(E44="Sí",K44*N44,0)</x:f>
        <x:v>0</x:v>
      </x:c>
      <x:c r="R44" s="104" t="str">
        <x:v>El deep link resuelve ruta válida y controla recurso inexistente/no autorizado.</x:v>
      </x:c>
      <x:c r="S44" s="104" t="str">
        <x:v>Demo + test ruta</x:v>
      </x:c>
      <x:c r="T44" s="104" t="str">
        <x:v>PMDM.NOT.01</x:v>
      </x:c>
      <x:c r="U44" s="107" t="str"/>
    </x:row>
    <x:row r="45">
      <x:c r="A45" s="104" t="str">
        <x:v>PMDM.AUTH.06</x:v>
      </x:c>
      <x:c r="B45" s="104" t="str">
        <x:v>Autenticación avanzada</x:v>
      </x:c>
      <x:c r="C45" s="104" t="str">
        <x:v>Añadir desbloqueo biométrico local de una sesión previamente válida</x:v>
      </x:c>
      <x:c r="D45" s="104" t="str">
        <x:v>ADV</x:v>
      </x:c>
      <x:c r="E45" s="107" t="str">
        <x:v>No</x:v>
      </x:c>
      <x:c r="F45" s="104" t="str">
        <x:v>H4</x:v>
      </x:c>
      <x:c r="G45" s="107" t="str"/>
      <x:c r="H45" s="104" t="n">
        <x:v>6</x:v>
      </x:c>
      <x:c r="I45" s="107" t="n">
        <x:v>6</x:v>
      </x:c>
      <x:c r="J45" s="107"/>
      <x:c r="K45" s="104" t="n">
        <x:v>4</x:v>
      </x:c>
      <x:c r="L45" s="107"/>
      <x:c r="M45" s="107" t="str"/>
      <x:c r="N45" s="108" t="n">
        <x:v>0</x:v>
      </x:c>
      <x:c r="O45" s="107" t="str">
        <x:v>NO CONTRATADA</x:v>
      </x:c>
      <x:c r="P45" s="109" t="n">
        <x:f>IF(AND(E45="Sí",O45="ACEPTADA"),K45,0)</x:f>
        <x:v>0</x:v>
      </x:c>
      <x:c r="Q45" s="109" t="n">
        <x:f>IF(E45="Sí",K45*N45,0)</x:f>
        <x:v>0</x:v>
      </x:c>
      <x:c r="R45" s="104" t="str">
        <x:v>Biometría no sustituye autenticación backend y tiene fallback seguro.</x:v>
      </x:c>
      <x:c r="S45" s="104" t="str">
        <x:v>Demo dispositivo</x:v>
      </x:c>
      <x:c r="T45" s="104" t="str">
        <x:v>Sesión segura existente</x:v>
      </x:c>
      <x:c r="U45" s="107" t="str"/>
    </x:row>
    <x:row r="46">
      <x:c r="A46" s="104" t="str">
        <x:v>PMDM.ACC.01</x:v>
      </x:c>
      <x:c r="B46" s="104" t="str">
        <x:v>Calidad UI</x:v>
      </x:c>
      <x:c r="C46" s="104" t="str">
        <x:v>Auditar accesibilidad básica y corregir incidencias prioritarias</x:v>
      </x:c>
      <x:c r="D46" s="104" t="str">
        <x:v>OPT</x:v>
      </x:c>
      <x:c r="E46" s="107" t="str">
        <x:v>No</x:v>
      </x:c>
      <x:c r="F46" s="104" t="str">
        <x:v>H4</x:v>
      </x:c>
      <x:c r="G46" s="107" t="str"/>
      <x:c r="H46" s="104" t="n">
        <x:v>4</x:v>
      </x:c>
      <x:c r="I46" s="107" t="n">
        <x:v>4</x:v>
      </x:c>
      <x:c r="J46" s="107"/>
      <x:c r="K46" s="104" t="n">
        <x:v>2</x:v>
      </x:c>
      <x:c r="L46" s="107"/>
      <x:c r="M46" s="107" t="str"/>
      <x:c r="N46" s="108" t="n">
        <x:v>0</x:v>
      </x:c>
      <x:c r="O46" s="107" t="str">
        <x:v>NO CONTRATADA</x:v>
      </x:c>
      <x:c r="P46" s="109" t="n">
        <x:f>IF(AND(E46="Sí",O46="ACEPTADA"),K46,0)</x:f>
        <x:v>0</x:v>
      </x:c>
      <x:c r="Q46" s="109" t="n">
        <x:f>IF(E46="Sí",K46*N46,0)</x:f>
        <x:v>0</x:v>
      </x:c>
      <x:c r="R46" s="104" t="str">
        <x:v>Se revisan semantics, contraste, tamaños y navegación relevante.</x:v>
      </x:c>
      <x:c r="S46" s="104" t="str">
        <x:v>Informe + corrección</x:v>
      </x:c>
      <x:c r="T46" s="104" t="str">
        <x:v>UI estable</x:v>
      </x:c>
      <x:c r="U46" s="107" t="str"/>
    </x:row>
    <x:row r="47">
      <x:c r="A47" s="104" t="str">
        <x:v>PMDM.TEST.01</x:v>
      </x:c>
      <x:c r="B47" s="104" t="str">
        <x:v>Testing avanzado</x:v>
      </x:c>
      <x:c r="C47" s="104" t="str">
        <x:v>Crear integration test de login→tablero→movimiento</x:v>
      </x:c>
      <x:c r="D47" s="104" t="str">
        <x:v>ADV</x:v>
      </x:c>
      <x:c r="E47" s="107" t="str">
        <x:v>No</x:v>
      </x:c>
      <x:c r="F47" s="104" t="str">
        <x:v>H4</x:v>
      </x:c>
      <x:c r="G47" s="107" t="str"/>
      <x:c r="H47" s="104" t="n">
        <x:v>6</x:v>
      </x:c>
      <x:c r="I47" s="107" t="n">
        <x:v>6</x:v>
      </x:c>
      <x:c r="J47" s="107"/>
      <x:c r="K47" s="104" t="n">
        <x:v>4</x:v>
      </x:c>
      <x:c r="L47" s="107"/>
      <x:c r="M47" s="107" t="str"/>
      <x:c r="N47" s="108" t="n">
        <x:v>0</x:v>
      </x:c>
      <x:c r="O47" s="107" t="str">
        <x:v>NO CONTRATADA</x:v>
      </x:c>
      <x:c r="P47" s="109" t="n">
        <x:f>IF(AND(E47="Sí",O47="ACEPTADA"),K47,0)</x:f>
        <x:v>0</x:v>
      </x:c>
      <x:c r="Q47" s="109" t="n">
        <x:f>IF(E47="Sí",K47*N47,0)</x:f>
        <x:v>0</x:v>
      </x:c>
      <x:c r="R47" s="104" t="str">
        <x:v>El test reproduce flujo vertical con dobles/entorno controlado.</x:v>
      </x:c>
      <x:c r="S47" s="104" t="str">
        <x:v>Integration test</x:v>
      </x:c>
      <x:c r="T47" s="104" t="str">
        <x:v>PMDM.AUTH.*; PMDM.KAN.*</x:v>
      </x:c>
      <x:c r="U47" s="107" t="str"/>
    </x:row>
    <x:row r="48">
      <x:c r="A48" s="104" t="str">
        <x:v>PMDM.REL.01</x:v>
      </x:c>
      <x:c r="B48" s="104" t="str">
        <x:v>Release móvil</x:v>
      </x:c>
      <x:c r="C48" s="104" t="str">
        <x:v>Automatizar empaquetado/release de una versión móvil</x:v>
      </x:c>
      <x:c r="D48" s="104" t="str">
        <x:v>ADV</x:v>
      </x:c>
      <x:c r="E48" s="107" t="str">
        <x:v>No</x:v>
      </x:c>
      <x:c r="F48" s="104" t="str">
        <x:v>H5</x:v>
      </x:c>
      <x:c r="G48" s="107" t="str"/>
      <x:c r="H48" s="104" t="n">
        <x:v>6</x:v>
      </x:c>
      <x:c r="I48" s="107" t="n">
        <x:v>6</x:v>
      </x:c>
      <x:c r="J48" s="107"/>
      <x:c r="K48" s="104" t="n">
        <x:v>4</x:v>
      </x:c>
      <x:c r="L48" s="107"/>
      <x:c r="M48" s="107" t="str"/>
      <x:c r="N48" s="108" t="n">
        <x:v>0</x:v>
      </x:c>
      <x:c r="O48" s="107" t="str">
        <x:v>NO CONTRATADA</x:v>
      </x:c>
      <x:c r="P48" s="109" t="n">
        <x:f>IF(AND(E48="Sí",O48="ACEPTADA"),K48,0)</x:f>
        <x:v>0</x:v>
      </x:c>
      <x:c r="Q48" s="109" t="n">
        <x:f>IF(E48="Sí",K48*N48,0)</x:f>
        <x:v>0</x:v>
      </x:c>
      <x:c r="R48" s="104" t="str">
        <x:v>Una versión/tag produce artefacto identificable y notas de release.</x:v>
      </x:c>
      <x:c r="S48" s="104" t="str">
        <x:v>Pipeline + artefacto</x:v>
      </x:c>
      <x:c r="T48" s="104" t="str">
        <x:v>PMDM.QA.05</x:v>
      </x:c>
      <x:c r="U48" s="107" t="str"/>
    </x:row>
    <x:row r="49">
      <x:c r="A49" s="104" t="str">
        <x:v>PMDM.OBS.01</x:v>
      </x:c>
      <x:c r="B49" s="104" t="str">
        <x:v>Diagnóstico móvil</x:v>
      </x:c>
      <x:c r="C49" s="104" t="str">
        <x:v>Añadir estrategia de logging/errores de cliente sin exponer secretos</x:v>
      </x:c>
      <x:c r="D49" s="104" t="str">
        <x:v>OPT</x:v>
      </x:c>
      <x:c r="E49" s="107" t="str">
        <x:v>No</x:v>
      </x:c>
      <x:c r="F49" s="104" t="str">
        <x:v>H4</x:v>
      </x:c>
      <x:c r="G49" s="107" t="str"/>
      <x:c r="H49" s="104" t="n">
        <x:v>4</x:v>
      </x:c>
      <x:c r="I49" s="107" t="n">
        <x:v>4</x:v>
      </x:c>
      <x:c r="J49" s="107"/>
      <x:c r="K49" s="104" t="n">
        <x:v>3</x:v>
      </x:c>
      <x:c r="L49" s="107"/>
      <x:c r="M49" s="107" t="str"/>
      <x:c r="N49" s="108" t="n">
        <x:v>0</x:v>
      </x:c>
      <x:c r="O49" s="107" t="str">
        <x:v>NO CONTRATADA</x:v>
      </x:c>
      <x:c r="P49" s="109" t="n">
        <x:f>IF(AND(E49="Sí",O49="ACEPTADA"),K49,0)</x:f>
        <x:v>0</x:v>
      </x:c>
      <x:c r="Q49" s="109" t="n">
        <x:f>IF(E49="Sí",K49*N49,0)</x:f>
        <x:v>0</x:v>
      </x:c>
      <x:c r="R49" s="104" t="str">
        <x:v>Errores relevantes son diagnosticables y no contienen tokens/PII innecesaria.</x:v>
      </x:c>
      <x:c r="S49" s="104" t="str">
        <x:v>Prueba de incidente</x:v>
      </x:c>
      <x:c r="T49" s="104" t="str">
        <x:v>Cliente estable</x:v>
      </x:c>
      <x:c r="U49" s="107" t="str"/>
    </x:row>
  </x:sheetData>
  <x:mergeCells>
    <x:mergeCell ref="A1:U1"/>
    <x:mergeCell ref="A2:U2"/>
  </x:mergeCells>
  <x:conditionalFormatting sqref="O15:O49">
    <x:cfRule type="expression" dxfId="13" priority="4">
      <x:formula>O15="ACEPTADA"</x:formula>
    </x:cfRule>
    <x:cfRule type="expression" dxfId="14" priority="5">
      <x:formula>O15="BLOQUEADA"</x:formula>
    </x:cfRule>
  </x:conditionalFormatting>
  <x:conditionalFormatting sqref="D15:D49">
    <x:cfRule type="expression" dxfId="21" priority="6">
      <x:formula>D15="OBL"</x:formula>
    </x:cfRule>
    <x:cfRule type="expression" dxfId="22" priority="7">
      <x:formula>D15="ADV"</x:formula>
    </x:cfRule>
    <x:cfRule type="expression" dxfId="23" priority="8">
      <x:formula>D15="OPT"</x:formula>
    </x:cfRule>
  </x:conditionalFormatting>
  <x:conditionalFormatting sqref="N15:N49">
    <x:cfRule type="dataBar" priority="9">
      <x:dataBar>
        <x:cfvo type="min"/>
        <x:cfvo type="max"/>
        <x:color rgb="FFA02B93"/>
      </x:dataBar>
      <x:extLst>
        <x:ext xmlns:x14="http://schemas.microsoft.com/office/spreadsheetml/2009/9/main" uri="{B025F937-C7B1-47D3-B67F-A62EFF666E3E}">
          <x14:id>{3752C1D2-9DAE-9B0D-2B32-61149320CAC2}</x14:id>
        </x:ext>
      </x:extLst>
    </x:cfRule>
  </x:conditionalFormatting>
  <x:dataValidations count="4">
    <x:dataValidation type="list" sqref="E15:E49">
      <x:formula1>"Sí,No"</x:formula1>
    </x:dataValidation>
    <x:dataValidation type="list" sqref="G15:G49">
      <x:formula1>"H0,H1,H2,H3,H4,H5"</x:formula1>
    </x:dataValidation>
    <x:dataValidation type="list" sqref="O15:O49">
      <x:formula1>"NO CONTRATADA,BACKLOG,PLANIFICADA,EN DESARROLLO,EN REVISIÓN,ACEPTADA,BLOQUEADA,RECUPERACIÓN"</x:formula1>
    </x:dataValidation>
    <x:dataValidation type="list" sqref="L15:L49">
      <x:formula1>'16 Contrato firma'!$B$7:$B$10</x:formula1>
    </x:dataValidation>
  </x:dataValidations>
  <x:pageMargins left="0.7" right="0.7" top="0.75" bottom="0.75" header="0.3" footer="0.3"/>
  <x:tableParts count="1">
    <x:tablePart xmlns:r="http://schemas.openxmlformats.org/officeDocument/2006/relationships" r:id="Rb17e97d29a014f02"/>
  </x:tableParts>
  <x:extLst>
    <x:ext xmlns:x14="http://schemas.microsoft.com/office/spreadsheetml/2009/9/main" xmlns:xm="http://schemas.microsoft.com/office/excel/2006/main" uri="{78C0D931-6437-407d-A8EE-F0AAD7539E65}">
      <x14:conditionalFormattings>
        <x14:conditionalFormatting>
          <x14:cfRule type="dataBar" priority="9" id="{3752C1D2-9DAE-9B0D-2B32-61149320CAC2}">
            <x14:dataBar gradient="1">
              <x14:cfvo type="min"/>
              <x14:cfvo type="max"/>
              <x14:fillColor rgb="FFA02B93"/>
            </x14:dataBar>
          </x14:cfRule>
          <xm:sqref>N15:N49</xm:sqref>
        </x14:conditionalFormatting>
      </x14:conditionalFormattings>
    </x:ext>
  </x:extLst>
</x:worksheet>
</file>

<file path=xl/worksheets/sheet5.xml><?xml version="1.0" encoding="utf-8"?>
<x:worksheet xmlns:x="http://schemas.openxmlformats.org/spreadsheetml/2006/main">
  <x:sheetFormatPr defaultRowHeight="15"/>
  <x:cols>
    <x:col min="1" max="1" width="9" hidden="0" customWidth="1"/>
    <x:col min="2" max="2" width="24" hidden="0" customWidth="1"/>
    <x:col min="3" max="3" width="42" hidden="0" customWidth="1"/>
    <x:col min="4" max="4" width="50" hidden="0" customWidth="1"/>
    <x:col min="5" max="5" width="20" hidden="0" customWidth="1"/>
    <x:col min="6" max="6" width="14" hidden="0" customWidth="1"/>
    <x:col min="7" max="7" width="16" hidden="0" customWidth="1"/>
  </x:cols>
  <x:sheetData>
    <x:row r="1" ht="28" customHeight="1">
      <x:c r="A1" s="86" t="str">
        <x:v>Hitos contractuales · AulaFlow 2.0 · v1.0 · copia operativa</x:v>
      </x:c>
      <x:c r="B1" s="86"/>
      <x:c r="C1" s="86"/>
      <x:c r="D1" s="86"/>
      <x:c r="E1" s="86"/>
      <x:c r="F1" s="86"/>
      <x:c r="G1" s="86"/>
    </x:row>
    <x:row r="3">
      <x:c r="A3" s="79" t="str">
        <x:v>Hito</x:v>
      </x:c>
      <x:c r="B3" s="79" t="str">
        <x:v>Objetivo</x:v>
      </x:c>
      <x:c r="C3" s="79" t="str">
        <x:v>Resultado esperado</x:v>
      </x:c>
      <x:c r="D3" s="79" t="str">
        <x:v>Ejemplos de tareas</x:v>
      </x:c>
      <x:c r="E3" s="79" t="str">
        <x:v>Puertas relacionadas</x:v>
      </x:c>
      <x:c r="F3" s="79" t="str">
        <x:v>Fecha</x:v>
      </x:c>
      <x:c r="G3" s="79" t="str">
        <x:v>Estado</x:v>
      </x:c>
    </x:row>
    <x:row r="4">
      <x:c r="A4" s="82" t="str">
        <x:v>H0</x:v>
      </x:c>
      <x:c r="B4" s="82" t="str">
        <x:v>Legado comprendido</x:v>
      </x:c>
      <x:c r="C4" s="82" t="str">
        <x:v>AulaFlow 1.0 ejecutado, auditado y decisiones iniciales registradas</x:v>
      </x:c>
      <x:c r="D4" s="82" t="str">
        <x:v>PI.LEG.*</x:v>
      </x:c>
      <x:c r="E4" s="82" t="str">
        <x:v>G0</x:v>
      </x:c>
      <x:c r="F4" s="153"/>
      <x:c r="G4" s="82" t="str">
        <x:v>PENDIENTE</x:v>
      </x:c>
    </x:row>
    <x:row r="5">
      <x:c r="A5" s="82" t="str">
        <x:v>H1</x:v>
      </x:c>
      <x:c r="B5" s="82" t="str">
        <x:v>Contrato y planificación</x:v>
      </x:c>
      <x:c r="C5" s="82" t="str">
        <x:v>Baseline firmado, backlog, presupuesto, capacidad, riesgos y Sprint 1</x:v>
      </x:c>
      <x:c r="D5" s="82" t="str">
        <x:v>PI.CON.*, PI.PLAN.*</x:v>
      </x:c>
      <x:c r="E5" s="82" t="str">
        <x:v>G1</x:v>
      </x:c>
      <x:c r="F5" s="153"/>
      <x:c r="G5" s="82" t="str">
        <x:v>PENDIENTE</x:v>
      </x:c>
    </x:row>
    <x:row r="6">
      <x:c r="A6" s="82" t="str">
        <x:v>H2</x:v>
      </x:c>
      <x:c r="B6" s="82" t="str">
        <x:v>Primer vertical backend/escritorio</x:v>
      </x:c>
      <x:c r="C6" s="82" t="str">
        <x:v>API, auth, espacios, tablero básico y shell MAUI conectada</x:v>
      </x:c>
      <x:c r="D6" s="82" t="str">
        <x:v>AD.API.*, AD.AUTH.*, AD.SPACE.*, AD.KAN.01-03, DI.ARCH.*, DI.AUTH.*</x:v>
      </x:c>
      <x:c r="E6" s="82" t="str">
        <x:v>G2 si se activa</x:v>
      </x:c>
      <x:c r="F6" s="153"/>
      <x:c r="G6" s="82" t="str">
        <x:v>PENDIENTE</x:v>
      </x:c>
    </x:row>
    <x:row r="7">
      <x:c r="A7" s="82" t="str">
        <x:v>H3</x:v>
      </x:c>
      <x:c r="B7" s="82" t="str">
        <x:v>Integración multicliente</x:v>
      </x:c>
      <x:c r="C7" s="82" t="str">
        <x:v>Kanban compartido + Flutter mínimo + MAUI mínimo + migración reproducible</x:v>
      </x:c>
      <x:c r="D7" s="82" t="str">
        <x:v>AD.KAN.*, AD.MIG.*, PMDM.AUTH/KAN.*, DI.KAN.*</x:v>
      </x:c>
      <x:c r="E7" s="82" t="str">
        <x:v>G2/G3</x:v>
      </x:c>
      <x:c r="F7" s="153"/>
      <x:c r="G7" s="82" t="str">
        <x:v>PENDIENTE</x:v>
      </x:c>
    </x:row>
    <x:row r="8">
      <x:c r="A8" s="82" t="str">
        <x:v>H4</x:v>
      </x:c>
      <x:c r="B8" s="82" t="str">
        <x:v>Pre-FE / ampliaciones</x:v>
      </x:c>
      <x:c r="C8" s="82" t="str">
        <x:v>Calidad base y primera selección de ampliaciones integrada y demostrable</x:v>
      </x:c>
      <x:c r="D8" s="82" t="str">
        <x:v>AD.QA.*, PMDM.QA.*, DI.QUAL.*, PSP/SGE/Nube/DIG/SUS/IPE seleccionadas</x:v>
      </x:c>
      <x:c r="E8" s="82" t="str">
        <x:v>G3/G4/G5 según activación</x:v>
      </x:c>
      <x:c r="F8" s="153"/>
      <x:c r="G8" s="82" t="str">
        <x:v>PENDIENTE</x:v>
      </x:c>
    </x:row>
    <x:row r="9">
      <x:c r="A9" s="82" t="str">
        <x:v>H5</x:v>
      </x:c>
      <x:c r="B9" s="82" t="str">
        <x:v>Release y defensa</x:v>
      </x:c>
      <x:c r="C9" s="82" t="str">
        <x:v>Release identificable, operación/documentación, AT aceptados y defensa individual</x:v>
      </x:c>
      <x:c r="D9" s="82" t="str">
        <x:v>PI.CLOSE.*, DI.REL.*, NUBE.*, evidencias de módulos seleccionados</x:v>
      </x:c>
      <x:c r="E9" s="82" t="str">
        <x:v>G6/G7</x:v>
      </x:c>
      <x:c r="F9" s="153"/>
      <x:c r="G9" s="82" t="str">
        <x:v>PENDIENTE</x:v>
      </x:c>
    </x:row>
  </x:sheetData>
  <x:mergeCells>
    <x:mergeCell ref="A1:G1"/>
  </x:mergeCells>
  <x:dataValidations count="1">
    <x:dataValidation type="list" sqref="G4:G9">
      <x:formula1>"PENDIENTE,EN CURSO,CERRADO"</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24" hidden="0" customWidth="1"/>
    <x:col min="3" max="3" width="48" hidden="0" customWidth="1"/>
    <x:col min="4" max="4" width="28" hidden="0" customWidth="1"/>
    <x:col min="5" max="5" width="22" hidden="0" customWidth="1"/>
  </x:cols>
  <x:sheetData>
    <x:row r="1" ht="28" customHeight="1">
      <x:c r="A1" s="86" t="str">
        <x:v>Presupuesto AulaFlow 2.0 · guía de uso · v1.0 · copia operativa</x:v>
      </x:c>
      <x:c r="B1" s="86"/>
      <x:c r="C1" s="86"/>
      <x:c r="D1" s="86"/>
      <x:c r="E1" s="86"/>
      <x:c r="F1" s="4"/>
      <x:c r="G1" s="4"/>
      <x:c r="H1" s="4"/>
    </x:row>
    <x:row r="2">
      <x:c r="A2"/>
      <x:c r="B2"/>
      <x:c r="C2"/>
      <x:c r="D2"/>
      <x:c r="E2"/>
    </x:row>
    <x:row r="3">
      <x:c r="A3" s="79" t="str">
        <x:v>Concepto</x:v>
      </x:c>
      <x:c r="B3" s="79" t="str">
        <x:v>Significado</x:v>
      </x:c>
      <x:c r="C3" s="79" t="str">
        <x:v>Cómo se usa</x:v>
      </x:c>
      <x:c r="D3" s="79" t="str">
        <x:v>Color / edición</x:v>
      </x:c>
      <x:c r="E3" s="79" t="str">
        <x:v>Ejemplo</x:v>
      </x:c>
      <x:c r="F3" s="11" t="str"/>
      <x:c r="G3" s="11" t="str"/>
      <x:c r="H3" s="11" t="str"/>
    </x:row>
    <x:row r="4">
      <x:c r="A4" s="82" t="str">
        <x:v>OBL</x:v>
      </x:c>
      <x:c r="B4" s="82" t="str">
        <x:v>Obligatoria</x:v>
      </x:c>
      <x:c r="C4" s="82" t="str">
        <x:v>Todos los equipos la contratan. No se sustituye por sumar opcionales.</x:v>
      </x:c>
      <x:c r="D4" s="82" t="str">
        <x:v>Selección fijada en Sí</x:v>
      </x:c>
      <x:c r="E4" s="82" t="str">
        <x:v>AD.AUTH.02</x:v>
      </x:c>
      <x:c r="F4" t="str"/>
      <x:c r="G4" t="str"/>
      <x:c r="H4" t="str"/>
    </x:row>
    <x:row r="5">
      <x:c r="A5" s="82" t="str">
        <x:v>OPT</x:v>
      </x:c>
      <x:c r="B5" s="82" t="str">
        <x:v>Opcional</x:v>
      </x:c>
      <x:c r="C5" s="82" t="str">
        <x:v>El equipo puede contratarla para ampliar alcance con una tarea concreta.</x:v>
      </x:c>
      <x:c r="D5" s="82" t="str">
        <x:v>Seleccionar Sí/No</x:v>
      </x:c>
      <x:c r="E5" s="82" t="str">
        <x:v>PMDM.UI.01</x:v>
      </x:c>
      <x:c r="F5" t="str"/>
      <x:c r="G5" t="str"/>
      <x:c r="H5" t="str"/>
    </x:row>
    <x:row r="6">
      <x:c r="A6" s="82" t="str">
        <x:v>ADV</x:v>
      </x:c>
      <x:c r="B6" s="82" t="str">
        <x:v>Avanzada</x:v>
      </x:c>
      <x:c r="C6" s="82" t="str">
        <x:v>Opcional con mayor complejidad, riesgo o dependencias.</x:v>
      </x:c>
      <x:c r="D6" s="82" t="str">
        <x:v>Seleccionar Sí/No</x:v>
      </x:c>
      <x:c r="E6" s="82" t="str">
        <x:v>PSP.EVT.04</x:v>
      </x:c>
      <x:c r="F6" t="str"/>
      <x:c r="G6" t="str"/>
      <x:c r="H6" t="str"/>
    </x:row>
    <x:row r="7">
      <x:c r="A7" s="82" t="str">
        <x:v>AT</x:v>
      </x:c>
      <x:c r="B7" s="82" t="str">
        <x:v>AulaTokens</x:v>
      </x:c>
      <x:c r="C7" s="82" t="str">
        <x:v>Peso contractual de la tarea. Solo se valida cuando la tarea queda ACEPTADA.</x:v>
      </x:c>
      <x:c r="D7" s="82" t="str">
        <x:v>Fijado por el profesor</x:v>
      </x:c>
      <x:c r="E7" s="82" t="str">
        <x:v>3 AT</x:v>
      </x:c>
      <x:c r="F7" t="str"/>
      <x:c r="G7" t="str"/>
      <x:c r="H7" t="str"/>
    </x:row>
    <x:row r="8">
      <x:c r="A8" s="82" t="str">
        <x:v>Horas recomendadas</x:v>
      </x:c>
      <x:c r="B8" s="82" t="str">
        <x:v>Estimación docente</x:v>
      </x:c>
      <x:c r="C8" s="82" t="str">
        <x:v>Referencia inicial para presupuesto y comparación posterior.</x:v>
      </x:c>
      <x:c r="D8" s="82" t="str">
        <x:v>No editar</x:v>
      </x:c>
      <x:c r="E8" s="82" t="str">
        <x:v>5 h</x:v>
      </x:c>
      <x:c r="F8" t="str"/>
      <x:c r="G8" t="str"/>
      <x:c r="H8" t="str"/>
    </x:row>
    <x:row r="9">
      <x:c r="A9" s="82" t="str">
        <x:v>Horas presupuestadas</x:v>
      </x:c>
      <x:c r="B9" s="82" t="str">
        <x:v>Estimación del equipo</x:v>
      </x:c>
      <x:c r="C9" s="82" t="str">
        <x:v>El equipo ajusta la estimación antes de comprometer la tarea.</x:v>
      </x:c>
      <x:c r="D9" s="82" t="str">
        <x:v>Celda editable</x:v>
      </x:c>
      <x:c r="E9" s="82" t="str">
        <x:v>6 h</x:v>
      </x:c>
      <x:c r="F9" t="str"/>
      <x:c r="G9" t="str"/>
      <x:c r="H9" t="str"/>
    </x:row>
    <x:row r="10">
      <x:c r="A10" s="82" t="str">
        <x:v>Horas dedicadas</x:v>
      </x:c>
      <x:c r="B10" s="82" t="str">
        <x:v>Tiempo real</x:v>
      </x:c>
      <x:c r="C10" s="82" t="str">
        <x:v>Se actualiza durante el proyecto para analizar desviaciones.</x:v>
      </x:c>
      <x:c r="D10" s="82" t="str">
        <x:v>Celda editable</x:v>
      </x:c>
      <x:c r="E10" s="82" t="str">
        <x:v>8 h</x:v>
      </x:c>
      <x:c r="F10" t="str"/>
      <x:c r="G10" t="str"/>
      <x:c r="H10" t="str"/>
    </x:row>
    <x:row r="11">
      <x:c r="A11" s="82" t="str">
        <x:v>Hito recomendado</x:v>
      </x:c>
      <x:c r="B11" s="82" t="str">
        <x:v>Ventana sugerida</x:v>
      </x:c>
      <x:c r="C11" s="82" t="str">
        <x:v>Cuándo conviene tener la tarea lista por sus dependencias.</x:v>
      </x:c>
      <x:c r="D11" s="82" t="str">
        <x:v>No editar</x:v>
      </x:c>
      <x:c r="E11" s="82" t="str">
        <x:v>H3</x:v>
      </x:c>
      <x:c r="F11" t="str"/>
      <x:c r="G11" t="str"/>
      <x:c r="H11" t="str"/>
    </x:row>
    <x:row r="12">
      <x:c r="A12" s="82" t="str">
        <x:v>Hito elegido</x:v>
      </x:c>
      <x:c r="B12" s="82" t="str">
        <x:v>Plan del equipo</x:v>
      </x:c>
      <x:c r="C12" s="82" t="str">
        <x:v>Hito real comprometido por el equipo al firmar/rebaselinar.</x:v>
      </x:c>
      <x:c r="D12" s="82" t="str">
        <x:v>Celda editable</x:v>
      </x:c>
      <x:c r="E12" s="82" t="str">
        <x:v>H4</x:v>
      </x:c>
      <x:c r="F12" t="str"/>
      <x:c r="G12" t="str"/>
      <x:c r="H12" t="str"/>
    </x:row>
    <x:row r="13">
      <x:c r="A13" s="82" t="str">
        <x:v>Responsable</x:v>
      </x:c>
      <x:c r="B13" s="82" t="str">
        <x:v>Atribución individual</x:v>
      </x:c>
      <x:c r="C13" s="82" t="str">
        <x:v>Una persona asume la responsabilidad principal. Si una tarea necesita reparto real, se descompone en subtareas.</x:v>
      </x:c>
      <x:c r="D13" s="82" t="str">
        <x:v>Celda editable</x:v>
      </x:c>
      <x:c r="E13" s="82" t="str">
        <x:v>Ana</x:v>
      </x:c>
      <x:c r="F13" t="str"/>
      <x:c r="G13" t="str"/>
      <x:c r="H13" t="str"/>
    </x:row>
    <x:row r="14">
      <x:c r="A14" s="82" t="str">
        <x:v>Estado</x:v>
      </x:c>
      <x:c r="B14" s="82" t="str">
        <x:v>Seguimiento</x:v>
      </x:c>
      <x:c r="C14" s="82" t="str">
        <x:v>NO CONTRATADA / BACKLOG / PLANIFICADA / EN DESARROLLO / EN REVISIÓN / ACEPTADA / BLOQUEADA / RECUPERACIÓN.</x:v>
      </x:c>
      <x:c r="D14" s="82" t="str">
        <x:v>Celda editable</x:v>
      </x:c>
      <x:c r="E14" s="82" t="str">
        <x:v>ACEPTADA</x:v>
      </x:c>
      <x:c r="F14" t="str"/>
      <x:c r="G14" t="str"/>
      <x:c r="H14" t="str"/>
    </x:row>
    <x:row r="15">
      <x:c r="A15" s="82" t="str">
        <x:v>AT validados</x:v>
      </x:c>
      <x:c r="B15" s="82" t="str">
        <x:v>Resultado</x:v>
      </x:c>
      <x:c r="C15" s="82" t="str">
        <x:v>Se calculan automáticamente solo si Seleccionada=Sí y Estado=ACEPTADA.</x:v>
      </x:c>
      <x:c r="D15" s="82" t="str">
        <x:v>Fórmula</x:v>
      </x:c>
      <x:c r="E15" s="82" t="str">
        <x:v>4</x:v>
      </x:c>
      <x:c r="F15" t="str"/>
      <x:c r="G15" t="str"/>
      <x:c r="H15" t="str"/>
    </x:row>
    <x:row r="16">
      <x:c r="A16" s="82" t="str">
        <x:v>Núcleo 150 AT</x:v>
      </x:c>
      <x:c r="B16" s="82" t="str">
        <x:v>Mínimo común</x:v>
      </x:c>
      <x:c r="C16" s="82" t="str">
        <x:v>PI II 25 + AD 70 + PMDM 25 + DI 30 = 150 AT obligatorios.</x:v>
      </x:c>
      <x:c r="D16" s="82" t="str">
        <x:v>Regla aprobada</x:v>
      </x:c>
      <x:c r="E16" s="82" t="str">
        <x:v>150 AT</x:v>
      </x:c>
      <x:c r="F16" t="str"/>
      <x:c r="G16" t="str"/>
      <x:c r="H16" t="str"/>
    </x:row>
    <x:row r="17">
      <x:c r="A17" s="82" t="str">
        <x:v>Otros módulos</x:v>
      </x:c>
      <x:c r="B17" s="82" t="str">
        <x:v>Oferta de ampliación</x:v>
      </x:c>
      <x:c r="C17" s="82" t="str">
        <x:v>PSP, SGE, Nube, Digitalización, Sostenibilidad e IPE II aportan bancos opcionales/avanzados.</x:v>
      </x:c>
      <x:c r="D17" s="82" t="str">
        <x:v>Contratación por equipo</x:v>
      </x:c>
      <x:c r="E17" s="82" t="str">
        <x:v>PSP.RT.*</x:v>
      </x:c>
    </x:row>
    <x:row r="18" ht="45" customHeight="1">
      <x:c r="A18" s="82" t="str">
        <x:v>Reparto</x:v>
      </x:c>
      <x:c r="B18" s="82" t="str">
        <x:v>40% equipo + 60% personal</x:v>
      </x:c>
      <x:c r="C18" s="82" t="str">
        <x:v>12 Reparto calcula AT efectivos por tareas aceptadas y responsable principal. Admite 2–4 integrantes únicos y consecutivos de 16 Contrato firma; divisor automático.</x:v>
      </x:c>
      <x:c r="D18" s="82" t="str">
        <x:v>Automático si nombres coinciden</x:v>
      </x:c>
      <x:c r="E18" s="82" t="str">
        <x:v>80 AT efectivos</x:v>
      </x:c>
    </x:row>
    <x:row r="19">
      <x:c r="A19" s="82" t="str">
        <x:v>Itinerarios</x:v>
      </x:c>
      <x:c r="B19" s="82" t="str">
        <x:v>Paquetes orientativos</x:v>
      </x:c>
      <x:c r="C19" s="82" t="str">
        <x:v>La hoja 13 Itinerarios ayuda a elegir ampliaciones coherentes; no sustituye el contrato de tareas.</x:v>
      </x:c>
      <x:c r="D19" s="82" t="str">
        <x:v>Orientativo</x:v>
      </x:c>
      <x:c r="E19" s="82" t="str">
        <x:v>Tiempo real / Cloud</x:v>
      </x:c>
    </x:row>
    <x:row r="20">
      <x:c r="A20" s="219" t="str">
        <x:v>CAMBIOS INTRODUCIDOS EN v0.4</x:v>
      </x:c>
      <x:c r="B20" s="219"/>
      <x:c r="C20" s="219"/>
      <x:c r="D20" s="219"/>
      <x:c r="E20" s="219"/>
    </x:row>
    <x:row r="21">
      <x:c r="A21" s="16" t="str">
        <x:v>Horas</x:v>
      </x:c>
      <x:c r="B21" s="16" t="str">
        <x:v>Las horas de cada tarea son horas-persona totales del equipo; no horas de reloj del grupo ni horas por estudiante.</x:v>
      </x:c>
      <x:c r="C21" s="16"/>
      <x:c r="D21" s="16"/>
      <x:c r="E21" s="16"/>
    </x:row>
    <x:row r="22">
      <x:c r="A22" s="16" t="str">
        <x:v>Vertical</x:v>
      </x:c>
      <x:c r="B22" s="16" t="str">
        <x:v>Los 150 AT obligatorios se validan como producto integrado por H0-H5; H0-H3 acumulan 140 AT funcionales.</x:v>
      </x:c>
      <x:c r="C22" s="16"/>
      <x:c r="D22" s="16"/>
      <x:c r="E22" s="16"/>
    </x:row>
    <x:row r="23">
      <x:c r="A23" s="16" t="str">
        <x:v>Tamaño equipo</x:v>
      </x:c>
      <x:c r="B23" s="16" t="str">
        <x:v>Los AT de las tareas no cambian. El mismo total se reparte entre el nº real de integrantes, por lo que equipos grandes necesitan más alcance y equipos pequeños asumen más trabajo por persona.</x:v>
      </x:c>
      <x:c r="C23" s="16"/>
      <x:c r="D23" s="16"/>
      <x:c r="E23" s="16"/>
    </x:row>
    <x:row r="24">
      <x:c r="A24" s="16" t="str">
        <x:v>Doble conteo</x:v>
      </x:c>
      <x:c r="B24" s="16" t="str">
        <x:v>Una misma evidencia puede reutilizarse entre módulos solo cuando demuestra competencias distintas; no puede validar dos tareas equivalentes del mismo trabajo.</x:v>
      </x:c>
      <x:c r="C24" s="16"/>
      <x:c r="D24" s="16"/>
      <x:c r="E24" s="16"/>
    </x:row>
    <x:row r="25">
      <x:c r="A25" s="16" t="str">
        <x:v>Contrato</x:v>
      </x:c>
      <x:c r="B25" s="16" t="str">
        <x:v>La hoja 16 es el contrato corto; las hojas por módulo son el anexo operativo; la hoja 17 registra cambios de baseline.</x:v>
      </x:c>
      <x:c r="C25" s="16"/>
      <x:c r="D25" s="16"/>
      <x:c r="E25" s="16"/>
    </x:row>
    <x:row r="26" ht="55" customHeight="1">
      <x:c r="A26" s="16" t="str">
        <x:v>Copia operativa v1.0</x:v>
      </x:c>
      <x:c r="B26" s="16" t="str">
        <x:v>Derivada de Presupuesto_AulaFlow_2_0_auditado_v0.4.xlsx; el original se conserva. Se mantienen catálogo, IDs, AT, horas, fórmula 40/60 y umbrales.</x:v>
      </x:c>
      <x:c r="C26" s="16"/>
      <x:c r="D26" s="16"/>
      <x:c r="E26" s="16"/>
    </x:row>
    <x:row r="27" ht="55" customHeight="1">
      <x:c r="A27" s="16" t="str">
        <x:v>Integrantes y controles</x:v>
      </x:c>
      <x:c r="B27" s="16" t="str">
        <x:v>Admite 2–4 integrantes consecutivos en B7:B10 de 16 Contrato firma. Duplicados, espacios y huecos requieren revisión; no se emite techo hasta corregir la configuración.</x:v>
      </x:c>
      <x:c r="C27" s="16"/>
      <x:c r="D27" s="16"/>
      <x:c r="E27" s="16"/>
    </x:row>
    <x:row r="28" ht="55" customHeight="1">
      <x:c r="A28" s="16" t="str">
        <x:v>Reparto y atribución</x:v>
      </x:c>
      <x:c r="B28" s="16" t="str">
        <x:v>Cada tarea admite una persona responsable. Los AT compartidos requieren un anexo acordado que esta hoja no calcula, sin duplicar filas, IDs ni AT.</x:v>
      </x:c>
      <x:c r="C28" s="16"/>
      <x:c r="D28" s="16"/>
      <x:c r="E28" s="16"/>
    </x:row>
    <x:row r="29" ht="55" customHeight="1">
      <x:c r="A29" s="16" t="str">
        <x:v>Puertas vigentes</x:v>
      </x:c>
      <x:c r="B29" s="16" t="str">
        <x:v>G0/G1/G6/G7 están activas; requieren evidencia. G2–G5 solo son no compensables tras activación expresa, criterios observables, justificación curricular, capacidad/oportunidad y recuperación. Ninguna puerta se concede por AT.</x:v>
      </x:c>
      <x:c r="C29" s="16"/>
      <x:c r="D29" s="16"/>
      <x:c r="E29" s="16"/>
    </x:row>
    <x:row r="30" ht="55" customHeight="1">
      <x:c r="A30" s="16" t="str">
        <x:v>Uso docente</x:v>
      </x:c>
      <x:c r="B30" s="16" t="str">
        <x:v>Los AT efectivos señalan un techo orientativo. La nota, las evidencias individuales, las puertas y la recuperación se rigen por la evaluación vigente v1.0.</x:v>
      </x:c>
      <x:c r="C30" s="16"/>
      <x:c r="D30" s="16"/>
      <x:c r="E30" s="16"/>
    </x:row>
  </x:sheetData>
  <x:mergeCells>
    <x:mergeCell ref="A1:H1"/>
    <x:mergeCell ref="A1:E1"/>
    <x:mergeCell ref="A20:E20"/>
    <x:mergeCell ref="B26:E26"/>
    <x:mergeCell ref="B27:E27"/>
    <x:mergeCell ref="B28:E28"/>
    <x:mergeCell ref="B29:E29"/>
    <x:mergeCell ref="B30:E30"/>
  </x:mergeCells>
  <x:pageMargins left="0.7" right="0.7" top="0.75" bottom="0.75" header="0.3" footer="0.3"/>
</x:worksheet>
</file>

<file path=xl/worksheets/sheet7.xml><?xml version="1.0" encoding="utf-8"?>
<x:worksheet xmlns:x="http://schemas.openxmlformats.org/spreadsheetml/2006/main">
  <x:sheetFormatPr defaultRowHeight="15"/>
  <x:cols>
    <x:col min="1" max="1" width="16" hidden="0" customWidth="1"/>
    <x:col min="2" max="2" width="24" hidden="0" customWidth="1"/>
    <x:col min="3" max="3" width="48" hidden="0" customWidth="1"/>
    <x:col min="4" max="4" width="9" hidden="0" customWidth="1"/>
    <x:col min="5" max="5" width="11" hidden="0" customWidth="1"/>
    <x:col min="6" max="6" width="14" hidden="0" customWidth="1"/>
    <x:col min="7" max="7" width="14" hidden="0" customWidth="1"/>
    <x:col min="8" max="8" width="12" hidden="0" customWidth="1"/>
    <x:col min="9" max="9" width="12" hidden="0" customWidth="1"/>
    <x:col min="10" max="10" width="12" hidden="0" customWidth="1"/>
    <x:col min="11" max="11" width="7" hidden="0" customWidth="1"/>
    <x:col min="12" max="12" width="16" hidden="0" customWidth="1"/>
    <x:col min="13" max="13" width="10" hidden="0" customWidth="1"/>
    <x:col min="14" max="14" width="10" hidden="0" customWidth="1"/>
    <x:col min="15" max="15" width="16" hidden="0" customWidth="1"/>
    <x:col min="16" max="16" width="11" hidden="0" customWidth="1"/>
    <x:col min="17" max="17" width="11" hidden="0" customWidth="1"/>
    <x:col min="18" max="18" width="52" hidden="0" customWidth="1"/>
    <x:col min="19" max="19" width="30" hidden="0" customWidth="1"/>
    <x:col min="20" max="20" width="28" hidden="0" customWidth="1"/>
    <x:col min="21" max="21" width="28" hidden="0" customWidth="1"/>
  </x:cols>
  <x:sheetData>
    <x:row r="1" ht="28" customHeight="1">
      <x:c r="A1" s="88" t="str">
        <x:v>Desarrollo de Interfaces · Presupuesto de tareas · AulaFlow 2.0 · v1.0 · copia operativa</x:v>
      </x:c>
      <x:c r="B1" s="88"/>
      <x:c r="C1" s="88"/>
      <x:c r="D1" s="88"/>
      <x:c r="E1" s="88"/>
      <x:c r="F1" s="88"/>
      <x:c r="G1" s="88"/>
      <x:c r="H1" s="88"/>
      <x:c r="I1" s="88"/>
      <x:c r="J1" s="88"/>
      <x:c r="K1" s="88"/>
      <x:c r="L1" s="88"/>
      <x:c r="M1" s="88"/>
      <x:c r="N1" s="88"/>
      <x:c r="O1" s="88"/>
      <x:c r="P1" s="88"/>
      <x:c r="Q1" s="88"/>
      <x:c r="R1" s="88"/>
      <x:c r="S1" s="88"/>
      <x:c r="T1" s="88"/>
      <x:c r="U1" s="88"/>
    </x:row>
    <x:row r="2" ht="40" customHeight="1">
      <x:c r="A2" s="91" t="str">
        <x:v>.NET MAUI. El núcleo obligatorio de 30 AT completa el mínimo común de cliente escritorio; las ampliaciones cubren administración, dashboard, UX y release. Las horas son horas-persona totales del equipo para cada tarea.</x:v>
      </x:c>
      <x:c r="B2" s="91"/>
      <x:c r="C2" s="91"/>
      <x:c r="D2" s="91"/>
      <x:c r="E2" s="91"/>
      <x:c r="F2" s="91"/>
      <x:c r="G2" s="91"/>
      <x:c r="H2" s="91"/>
      <x:c r="I2" s="91"/>
      <x:c r="J2" s="91"/>
      <x:c r="K2" s="91"/>
      <x:c r="L2" s="91"/>
      <x:c r="M2" s="91"/>
      <x:c r="N2" s="91"/>
      <x:c r="O2" s="91"/>
      <x:c r="P2" s="91"/>
      <x:c r="Q2" s="91"/>
      <x:c r="R2" s="91"/>
      <x:c r="S2" s="91"/>
      <x:c r="T2" s="91"/>
      <x:c r="U2" s="91"/>
    </x:row>
    <x:row r="3">
      <x:c r="A3"/>
      <x:c r="B3"/>
      <x:c r="C3"/>
      <x:c r="D3"/>
      <x:c r="E3"/>
      <x:c r="F3"/>
      <x:c r="G3"/>
      <x:c r="H3"/>
      <x:c r="I3"/>
      <x:c r="J3"/>
      <x:c r="K3"/>
      <x:c r="L3"/>
      <x:c r="M3"/>
      <x:c r="N3"/>
      <x:c r="O3"/>
      <x:c r="P3"/>
      <x:c r="Q3"/>
      <x:c r="R3"/>
      <x:c r="S3"/>
      <x:c r="T3"/>
      <x:c r="U3"/>
    </x:row>
    <x:row r="4">
      <x:c r="A4" s="114" t="str">
        <x:v>RESUMEN</x:v>
      </x:c>
      <x:c r="B4" s="114" t="str">
        <x:v>VALOR</x:v>
      </x:c>
      <x:c r="C4"/>
      <x:c r="D4"/>
      <x:c r="E4"/>
      <x:c r="F4"/>
      <x:c r="G4"/>
      <x:c r="H4"/>
      <x:c r="I4"/>
      <x:c r="J4"/>
      <x:c r="K4"/>
      <x:c r="L4"/>
      <x:c r="M4"/>
      <x:c r="N4"/>
      <x:c r="O4"/>
      <x:c r="P4"/>
      <x:c r="Q4"/>
      <x:c r="R4"/>
      <x:c r="S4"/>
      <x:c r="T4"/>
      <x:c r="U4"/>
    </x:row>
    <x:row r="5">
      <x:c r="A5" s="116" t="str">
        <x:v>AT obligatorios ofertados</x:v>
      </x:c>
      <x:c r="B5" s="117" t="n">
        <x:f>SUMIF(D15:D45,"OBL",K15:K45)</x:f>
        <x:v>30</x:v>
      </x:c>
      <x:c r="C5"/>
      <x:c r="D5"/>
      <x:c r="E5"/>
      <x:c r="F5"/>
      <x:c r="G5"/>
      <x:c r="H5"/>
      <x:c r="I5"/>
      <x:c r="J5"/>
      <x:c r="K5"/>
      <x:c r="L5"/>
      <x:c r="M5"/>
      <x:c r="N5"/>
      <x:c r="O5"/>
      <x:c r="P5"/>
      <x:c r="Q5"/>
      <x:c r="R5"/>
      <x:c r="S5"/>
      <x:c r="T5"/>
      <x:c r="U5"/>
    </x:row>
    <x:row r="6">
      <x:c r="A6" s="116" t="str">
        <x:v>AT totales ofertados</x:v>
      </x:c>
      <x:c r="B6" s="117" t="n">
        <x:f>SUM(K15:K45)</x:f>
        <x:v>64</x:v>
      </x:c>
      <x:c r="C6"/>
      <x:c r="D6"/>
      <x:c r="E6"/>
      <x:c r="F6"/>
      <x:c r="G6"/>
      <x:c r="H6"/>
      <x:c r="I6"/>
      <x:c r="J6"/>
      <x:c r="K6"/>
      <x:c r="L6"/>
      <x:c r="M6"/>
      <x:c r="N6"/>
      <x:c r="O6"/>
      <x:c r="P6"/>
      <x:c r="Q6"/>
      <x:c r="R6"/>
      <x:c r="S6"/>
      <x:c r="T6"/>
      <x:c r="U6"/>
    </x:row>
    <x:row r="7">
      <x:c r="A7" s="116" t="str">
        <x:v>AT seleccionados</x:v>
      </x:c>
      <x:c r="B7" s="117" t="n">
        <x:f>SUMIF(E15:E45,"Sí",K15:K45)</x:f>
        <x:v>30</x:v>
      </x:c>
      <x:c r="C7"/>
      <x:c r="D7"/>
      <x:c r="E7"/>
      <x:c r="F7"/>
      <x:c r="G7"/>
      <x:c r="H7"/>
      <x:c r="I7"/>
      <x:c r="J7"/>
      <x:c r="K7"/>
      <x:c r="L7"/>
      <x:c r="M7"/>
      <x:c r="N7"/>
      <x:c r="O7"/>
      <x:c r="P7"/>
      <x:c r="Q7"/>
      <x:c r="R7"/>
      <x:c r="S7"/>
      <x:c r="T7"/>
      <x:c r="U7"/>
    </x:row>
    <x:row r="8">
      <x:c r="A8" s="116" t="str">
        <x:v>AT validados</x:v>
      </x:c>
      <x:c r="B8" s="117" t="n">
        <x:f>SUM(P15:P45)</x:f>
        <x:v>0</x:v>
      </x:c>
      <x:c r="C8"/>
      <x:c r="D8"/>
      <x:c r="E8"/>
      <x:c r="F8"/>
      <x:c r="G8"/>
      <x:c r="H8"/>
      <x:c r="I8"/>
      <x:c r="J8"/>
      <x:c r="K8"/>
      <x:c r="L8"/>
      <x:c r="M8"/>
      <x:c r="N8"/>
      <x:c r="O8"/>
      <x:c r="P8"/>
      <x:c r="Q8"/>
      <x:c r="R8"/>
      <x:c r="S8"/>
      <x:c r="T8"/>
      <x:c r="U8"/>
    </x:row>
    <x:row r="9">
      <x:c r="A9" s="116" t="str">
        <x:v>Horas recomendadas seleccionadas</x:v>
      </x:c>
      <x:c r="B9" s="117" t="n">
        <x:f>SUMIF(E15:E45,"Sí",H15:H45)</x:f>
        <x:v>65</x:v>
      </x:c>
      <x:c r="C9"/>
      <x:c r="D9"/>
      <x:c r="E9"/>
      <x:c r="F9"/>
      <x:c r="G9"/>
      <x:c r="H9"/>
      <x:c r="I9"/>
      <x:c r="J9"/>
      <x:c r="K9"/>
      <x:c r="L9"/>
      <x:c r="M9"/>
      <x:c r="N9"/>
      <x:c r="O9"/>
      <x:c r="P9"/>
      <x:c r="Q9"/>
      <x:c r="R9"/>
      <x:c r="S9"/>
      <x:c r="T9"/>
      <x:c r="U9"/>
    </x:row>
    <x:row r="10">
      <x:c r="A10" s="116" t="str">
        <x:v>Horas presupuestadas seleccionadas</x:v>
      </x:c>
      <x:c r="B10" s="117" t="n">
        <x:f>SUMIF(E15:E45,"Sí",I15:I45)</x:f>
        <x:v>65</x:v>
      </x:c>
      <x:c r="C10"/>
      <x:c r="D10"/>
      <x:c r="E10"/>
      <x:c r="F10"/>
      <x:c r="G10"/>
      <x:c r="H10"/>
      <x:c r="I10"/>
      <x:c r="J10"/>
      <x:c r="K10"/>
      <x:c r="L10"/>
      <x:c r="M10"/>
      <x:c r="N10"/>
      <x:c r="O10"/>
      <x:c r="P10"/>
      <x:c r="Q10"/>
      <x:c r="R10"/>
      <x:c r="S10"/>
      <x:c r="T10"/>
      <x:c r="U10"/>
    </x:row>
    <x:row r="11">
      <x:c r="A11" s="116" t="str">
        <x:v>Horas dedicadas</x:v>
      </x:c>
      <x:c r="B11" s="117" t="n">
        <x:f>SUM(J15:J45)</x:f>
        <x:v>0</x:v>
      </x:c>
      <x:c r="C11"/>
      <x:c r="D11"/>
      <x:c r="E11"/>
      <x:c r="F11"/>
      <x:c r="G11"/>
      <x:c r="H11"/>
      <x:c r="I11"/>
      <x:c r="J11"/>
      <x:c r="K11"/>
      <x:c r="L11"/>
      <x:c r="M11"/>
      <x:c r="N11"/>
      <x:c r="O11"/>
      <x:c r="P11"/>
      <x:c r="Q11"/>
      <x:c r="R11"/>
      <x:c r="S11"/>
      <x:c r="T11"/>
      <x:c r="U11"/>
    </x:row>
    <x:row r="12">
      <x:c r="A12" s="116" t="str">
        <x:v>Progreso ponderado por AT</x:v>
      </x:c>
      <x:c r="B12" s="118" t="n">
        <x:f>IF(B7=0,0,SUM(Q15:Q45)/B7)</x:f>
        <x:v>0</x:v>
      </x:c>
      <x:c r="C12"/>
      <x:c r="D12"/>
      <x:c r="E12"/>
      <x:c r="F12"/>
      <x:c r="G12"/>
      <x:c r="H12"/>
      <x:c r="I12"/>
      <x:c r="J12"/>
      <x:c r="K12"/>
      <x:c r="L12"/>
      <x:c r="M12"/>
      <x:c r="N12"/>
      <x:c r="O12"/>
      <x:c r="P12"/>
      <x:c r="Q12"/>
      <x:c r="R12"/>
      <x:c r="S12"/>
      <x:c r="T12"/>
      <x:c r="U12"/>
    </x:row>
    <x:row r="13">
      <x:c r="A13"/>
      <x:c r="B13"/>
      <x:c r="C13"/>
      <x:c r="D13"/>
      <x:c r="E13"/>
      <x:c r="F13"/>
      <x:c r="G13"/>
      <x:c r="H13"/>
      <x:c r="I13"/>
      <x:c r="J13"/>
      <x:c r="K13"/>
      <x:c r="L13"/>
      <x:c r="M13"/>
      <x:c r="N13"/>
      <x:c r="O13"/>
      <x:c r="P13"/>
      <x:c r="Q13"/>
      <x:c r="R13"/>
      <x:c r="S13"/>
      <x:c r="T13"/>
      <x:c r="U13"/>
    </x:row>
    <x:row r="14" ht="44" customHeight="1">
      <x:c r="A14" s="100" t="str">
        <x:v>ID</x:v>
      </x:c>
      <x:c r="B14" s="100" t="str">
        <x:v>Especificación / funcionalidad</x:v>
      </x:c>
      <x:c r="C14" s="100" t="str">
        <x:v>Tarea / entregable</x:v>
      </x:c>
      <x:c r="D14" s="100" t="str">
        <x:v>Tipo</x:v>
      </x:c>
      <x:c r="E14" s="100" t="str">
        <x:v>Seleccionada</x:v>
      </x:c>
      <x:c r="F14" s="100" t="str">
        <x:v>Hito recomendado</x:v>
      </x:c>
      <x:c r="G14" s="100" t="str">
        <x:v>Hito elegido</x:v>
      </x:c>
      <x:c r="H14" s="100" t="str">
        <x:v>Horas recomendadas (equipo)</x:v>
      </x:c>
      <x:c r="I14" s="100" t="str">
        <x:v>Horas presupuestadas (equipo)</x:v>
      </x:c>
      <x:c r="J14" s="100" t="str">
        <x:v>Horas dedicadas (equipo)</x:v>
      </x:c>
      <x:c r="K14" s="100" t="str">
        <x:v>AT</x:v>
      </x:c>
      <x:c r="L14" s="100" t="str">
        <x:v>Responsable</x:v>
      </x:c>
      <x:c r="M14" s="100" t="str">
        <x:v>Sprint</x:v>
      </x:c>
      <x:c r="N14" s="100" t="str">
        <x:v>% realizado</x:v>
      </x:c>
      <x:c r="O14" s="100" t="str">
        <x:v>Estado</x:v>
      </x:c>
      <x:c r="P14" s="100" t="str">
        <x:v>AT validados</x:v>
      </x:c>
      <x:c r="Q14" s="100" t="str">
        <x:v>AT progreso</x:v>
      </x:c>
      <x:c r="R14" s="100" t="str">
        <x:v>Criterios de aceptación</x:v>
      </x:c>
      <x:c r="S14" s="100" t="str">
        <x:v>Evidencia esperada</x:v>
      </x:c>
      <x:c r="T14" s="100" t="str">
        <x:v>Dependencias</x:v>
      </x:c>
      <x:c r="U14" s="100" t="str">
        <x:v>Observaciones</x:v>
      </x:c>
    </x:row>
    <x:row r="15">
      <x:c r="A15" s="104" t="str">
        <x:v>DI.ARCH.01</x:v>
      </x:c>
      <x:c r="B15" s="104" t="str">
        <x:v>Arquitectura MAUI</x:v>
      </x:c>
      <x:c r="C15" s="104" t="str">
        <x:v>Crear solución .NET MAUI y configuración por entorno</x:v>
      </x:c>
      <x:c r="D15" s="104" t="str">
        <x:v>OBL</x:v>
      </x:c>
      <x:c r="E15" s="107" t="str">
        <x:v>Sí</x:v>
      </x:c>
      <x:c r="F15" s="104" t="str">
        <x:v>H2</x:v>
      </x:c>
      <x:c r="G15" s="107"/>
      <x:c r="H15" s="104" t="n">
        <x:v>4</x:v>
      </x:c>
      <x:c r="I15" s="107" t="n">
        <x:v>4</x:v>
      </x:c>
      <x:c r="J15" s="107"/>
      <x:c r="K15" s="104" t="n">
        <x:v>2</x:v>
      </x:c>
      <x:c r="L15" s="107"/>
      <x:c r="M15" s="107"/>
      <x:c r="N15" s="108" t="n">
        <x:v>0</x:v>
      </x:c>
      <x:c r="O15" s="107" t="str">
        <x:v>BACKLOG</x:v>
      </x:c>
      <x:c r="P15" s="109" t="n">
        <x:f>IF(AND(E15="Sí",O15="ACEPTADA"),K15,0)</x:f>
        <x:v>0</x:v>
      </x:c>
      <x:c r="Q15" s="109" t="n">
        <x:f>IF(E15="Sí",K15*N15,0)</x:f>
        <x:v>0</x:v>
      </x:c>
      <x:c r="R15" s="104" t="str">
        <x:v>La solución compila y arranca en la plataforma objetivo; el endpoint se obtiene de configuración y no de un valor sensible hardcodeado.</x:v>
      </x:c>
      <x:c r="S15" s="104" t="str">
        <x:v>Repo + build + PR</x:v>
      </x:c>
      <x:c r="T15" s="104" t="str">
        <x:v>CORE/API disponible</x:v>
      </x:c>
      <x:c r="U15" s="107" t="str"/>
    </x:row>
    <x:row r="16">
      <x:c r="A16" s="104" t="str">
        <x:v>DI.ARCH.02</x:v>
      </x:c>
      <x:c r="B16" s="104" t="str">
        <x:v>Arquitectura MAUI</x:v>
      </x:c>
      <x:c r="C16" s="104" t="str">
        <x:v>Configurar Shell/navegación principal y rutas protegidas</x:v>
      </x:c>
      <x:c r="D16" s="104" t="str">
        <x:v>OBL</x:v>
      </x:c>
      <x:c r="E16" s="107" t="str">
        <x:v>Sí</x:v>
      </x:c>
      <x:c r="F16" s="104" t="str">
        <x:v>H2</x:v>
      </x:c>
      <x:c r="G16" s="107"/>
      <x:c r="H16" s="104" t="n">
        <x:v>3</x:v>
      </x:c>
      <x:c r="I16" s="107" t="n">
        <x:v>3</x:v>
      </x:c>
      <x:c r="J16" s="107"/>
      <x:c r="K16" s="104" t="n">
        <x:v>1</x:v>
      </x:c>
      <x:c r="L16" s="107"/>
      <x:c r="M16" s="107"/>
      <x:c r="N16" s="108" t="n">
        <x:v>0</x:v>
      </x:c>
      <x:c r="O16" s="107" t="str">
        <x:v>BACKLOG</x:v>
      </x:c>
      <x:c r="P16" s="109" t="n">
        <x:f>IF(AND(E16="Sí",O16="ACEPTADA"),K16,0)</x:f>
        <x:v>0</x:v>
      </x:c>
      <x:c r="Q16" s="109" t="n">
        <x:f>IF(E16="Sí",K16*N16,0)</x:f>
        <x:v>0</x:v>
      </x:c>
      <x:c r="R16" s="104" t="str">
        <x:v>La navegación cubre login y área autenticada sin rutas rotas; las rutas protegidas reaccionan a sesión inválida.</x:v>
      </x:c>
      <x:c r="S16" s="104" t="str">
        <x:v>Demo + test/manual checklist</x:v>
      </x:c>
      <x:c r="T16" s="104" t="str">
        <x:v>DI.ARCH.01</x:v>
      </x:c>
      <x:c r="U16" s="107" t="str"/>
    </x:row>
    <x:row r="17">
      <x:c r="A17" s="104" t="str">
        <x:v>DI.ARCH.03</x:v>
      </x:c>
      <x:c r="B17" s="104" t="str">
        <x:v>Arquitectura MAUI</x:v>
      </x:c>
      <x:c r="C17" s="104" t="str">
        <x:v>Separar View, estado/ViewModel y acceso a servicios/API</x:v>
      </x:c>
      <x:c r="D17" s="104" t="str">
        <x:v>OBL</x:v>
      </x:c>
      <x:c r="E17" s="107" t="str">
        <x:v>Sí</x:v>
      </x:c>
      <x:c r="F17" s="104" t="str">
        <x:v>H2</x:v>
      </x:c>
      <x:c r="G17" s="107"/>
      <x:c r="H17" s="104" t="n">
        <x:v>5</x:v>
      </x:c>
      <x:c r="I17" s="107" t="n">
        <x:v>5</x:v>
      </x:c>
      <x:c r="J17" s="107"/>
      <x:c r="K17" s="104" t="n">
        <x:v>2</x:v>
      </x:c>
      <x:c r="L17" s="107"/>
      <x:c r="M17" s="107"/>
      <x:c r="N17" s="108" t="n">
        <x:v>0</x:v>
      </x:c>
      <x:c r="O17" s="107" t="str">
        <x:v>BACKLOG</x:v>
      </x:c>
      <x:c r="P17" s="109" t="n">
        <x:f>IF(AND(E17="Sí",O17="ACEPTADA"),K17,0)</x:f>
        <x:v>0</x:v>
      </x:c>
      <x:c r="Q17" s="109" t="n">
        <x:f>IF(E17="Sí",K17*N17,0)</x:f>
        <x:v>0</x:v>
      </x:c>
      <x:c r="R17" s="104" t="str">
        <x:v>Una funcionalidad real no mezcla llamadas HTTP directamente con la vista y las dependencias se pueden sustituir en prueba.</x:v>
      </x:c>
      <x:c r="S17" s="104" t="str">
        <x:v>Diagrama breve + PR</x:v>
      </x:c>
      <x:c r="T17" s="104" t="str">
        <x:v>DI.ARCH.01</x:v>
      </x:c>
      <x:c r="U17" s="107" t="str"/>
    </x:row>
    <x:row r="18">
      <x:c r="A18" s="104" t="str">
        <x:v>DI.AUTH.01</x:v>
      </x:c>
      <x:c r="B18" s="104" t="str">
        <x:v>Autenticación escritorio</x:v>
      </x:c>
      <x:c r="C18" s="104" t="str">
        <x:v>Diseñar formulario de login con validación y feedback</x:v>
      </x:c>
      <x:c r="D18" s="104" t="str">
        <x:v>OBL</x:v>
      </x:c>
      <x:c r="E18" s="107" t="str">
        <x:v>Sí</x:v>
      </x:c>
      <x:c r="F18" s="104" t="str">
        <x:v>H2</x:v>
      </x:c>
      <x:c r="G18" s="107"/>
      <x:c r="H18" s="104" t="n">
        <x:v>3</x:v>
      </x:c>
      <x:c r="I18" s="107" t="n">
        <x:v>3</x:v>
      </x:c>
      <x:c r="J18" s="107"/>
      <x:c r="K18" s="104" t="n">
        <x:v>1</x:v>
      </x:c>
      <x:c r="L18" s="107"/>
      <x:c r="M18" s="107"/>
      <x:c r="N18" s="108" t="n">
        <x:v>0</x:v>
      </x:c>
      <x:c r="O18" s="107" t="str">
        <x:v>BACKLOG</x:v>
      </x:c>
      <x:c r="P18" s="109" t="n">
        <x:f>IF(AND(E18="Sí",O18="ACEPTADA"),K18,0)</x:f>
        <x:v>0</x:v>
      </x:c>
      <x:c r="Q18" s="109" t="n">
        <x:f>IF(E18="Sí",K18*N18,0)</x:f>
        <x:v>0</x:v>
      </x:c>
      <x:c r="R18" s="104" t="str">
        <x:v>Campos inválidos se detectan antes de enviar; el usuario recibe feedback comprensible.</x:v>
      </x:c>
      <x:c r="S18" s="104" t="str">
        <x:v>Demo + captura/test</x:v>
      </x:c>
      <x:c r="T18" s="104" t="str">
        <x:v>DI.ARCH.02</x:v>
      </x:c>
      <x:c r="U18" s="107" t="str"/>
    </x:row>
    <x:row r="19">
      <x:c r="A19" s="104" t="str">
        <x:v>DI.AUTH.02</x:v>
      </x:c>
      <x:c r="B19" s="104" t="str">
        <x:v>Autenticación escritorio</x:v>
      </x:c>
      <x:c r="C19" s="104" t="str">
        <x:v>Consumir login del backend común</x:v>
      </x:c>
      <x:c r="D19" s="104" t="str">
        <x:v>OBL</x:v>
      </x:c>
      <x:c r="E19" s="107" t="str">
        <x:v>Sí</x:v>
      </x:c>
      <x:c r="F19" s="104" t="str">
        <x:v>H2</x:v>
      </x:c>
      <x:c r="G19" s="107"/>
      <x:c r="H19" s="104" t="n">
        <x:v>4</x:v>
      </x:c>
      <x:c r="I19" s="107" t="n">
        <x:v>4</x:v>
      </x:c>
      <x:c r="J19" s="107"/>
      <x:c r="K19" s="104" t="n">
        <x:v>2</x:v>
      </x:c>
      <x:c r="L19" s="107"/>
      <x:c r="M19" s="107"/>
      <x:c r="N19" s="108" t="n">
        <x:v>0</x:v>
      </x:c>
      <x:c r="O19" s="107" t="str">
        <x:v>BACKLOG</x:v>
      </x:c>
      <x:c r="P19" s="109" t="n">
        <x:f>IF(AND(E19="Sí",O19="ACEPTADA"),K19,0)</x:f>
        <x:v>0</x:v>
      </x:c>
      <x:c r="Q19" s="109" t="n">
        <x:f>IF(E19="Sí",K19*N19,0)</x:f>
        <x:v>0</x:v>
      </x:c>
      <x:c r="R19" s="104" t="str">
        <x:v>Credenciales válidas abren la sesión y las inválidas no provocan crash ni mensajes inseguros.</x:v>
      </x:c>
      <x:c r="S19" s="104" t="str">
        <x:v>Test/demo</x:v>
      </x:c>
      <x:c r="T19" s="104" t="str">
        <x:v>AD.AUTH.02</x:v>
      </x:c>
      <x:c r="U19" s="107" t="str"/>
    </x:row>
    <x:row r="20">
      <x:c r="A20" s="104" t="str">
        <x:v>DI.AUTH.03</x:v>
      </x:c>
      <x:c r="B20" s="104" t="str">
        <x:v>Autenticación escritorio</x:v>
      </x:c>
      <x:c r="C20" s="104" t="str">
        <x:v>Persistir credencial/sesión de forma segura</x:v>
      </x:c>
      <x:c r="D20" s="104" t="str">
        <x:v>OBL</x:v>
      </x:c>
      <x:c r="E20" s="107" t="str">
        <x:v>Sí</x:v>
      </x:c>
      <x:c r="F20" s="104" t="str">
        <x:v>H2</x:v>
      </x:c>
      <x:c r="G20" s="107"/>
      <x:c r="H20" s="104" t="n">
        <x:v>3</x:v>
      </x:c>
      <x:c r="I20" s="107" t="n">
        <x:v>3</x:v>
      </x:c>
      <x:c r="J20" s="107"/>
      <x:c r="K20" s="104" t="n">
        <x:v>1</x:v>
      </x:c>
      <x:c r="L20" s="107"/>
      <x:c r="M20" s="107"/>
      <x:c r="N20" s="108" t="n">
        <x:v>0</x:v>
      </x:c>
      <x:c r="O20" s="107" t="str">
        <x:v>BACKLOG</x:v>
      </x:c>
      <x:c r="P20" s="109" t="n">
        <x:f>IF(AND(E20="Sí",O20="ACEPTADA"),K20,0)</x:f>
        <x:v>0</x:v>
      </x:c>
      <x:c r="Q20" s="109" t="n">
        <x:f>IF(E20="Sí",K20*N20,0)</x:f>
        <x:v>0</x:v>
      </x:c>
      <x:c r="R20" s="104" t="str">
        <x:v>La credencial no aparece en texto plano en código, logs o almacenamiento no apropiado.</x:v>
      </x:c>
      <x:c r="S20" s="104" t="str">
        <x:v>Revisión + prueba reinicio</x:v>
      </x:c>
      <x:c r="T20" s="104" t="str">
        <x:v>DI.AUTH.02</x:v>
      </x:c>
      <x:c r="U20" s="107" t="str"/>
    </x:row>
    <x:row r="21">
      <x:c r="A21" s="104" t="str">
        <x:v>DI.AUTH.04</x:v>
      </x:c>
      <x:c r="B21" s="104" t="str">
        <x:v>Autenticación escritorio</x:v>
      </x:c>
      <x:c r="C21" s="104" t="str">
        <x:v>Implementar logout y recuperación ante 401/expiración</x:v>
      </x:c>
      <x:c r="D21" s="104" t="str">
        <x:v>OBL</x:v>
      </x:c>
      <x:c r="E21" s="107" t="str">
        <x:v>Sí</x:v>
      </x:c>
      <x:c r="F21" s="104" t="str">
        <x:v>H3</x:v>
      </x:c>
      <x:c r="G21" s="107"/>
      <x:c r="H21" s="104" t="n">
        <x:v>4</x:v>
      </x:c>
      <x:c r="I21" s="107" t="n">
        <x:v>4</x:v>
      </x:c>
      <x:c r="J21" s="107"/>
      <x:c r="K21" s="104" t="n">
        <x:v>2</x:v>
      </x:c>
      <x:c r="L21" s="107"/>
      <x:c r="M21" s="107"/>
      <x:c r="N21" s="108" t="n">
        <x:v>0</x:v>
      </x:c>
      <x:c r="O21" s="107" t="str">
        <x:v>BACKLOG</x:v>
      </x:c>
      <x:c r="P21" s="109" t="n">
        <x:f>IF(AND(E21="Sí",O21="ACEPTADA"),K21,0)</x:f>
        <x:v>0</x:v>
      </x:c>
      <x:c r="Q21" s="109" t="n">
        <x:f>IF(E21="Sí",K21*N21,0)</x:f>
        <x:v>0</x:v>
      </x:c>
      <x:c r="R21" s="104" t="str">
        <x:v>Logout invalida el acceso local y un 401 devuelve la UI a un estado coherente.</x:v>
      </x:c>
      <x:c r="S21" s="104" t="str">
        <x:v>Demo + test</x:v>
      </x:c>
      <x:c r="T21" s="104" t="str">
        <x:v>AD.AUTH.04; AD.AUTH.05</x:v>
      </x:c>
      <x:c r="U21" s="107" t="str"/>
    </x:row>
    <x:row r="22">
      <x:c r="A22" s="104" t="str">
        <x:v>DI.KAN.01</x:v>
      </x:c>
      <x:c r="B22" s="104" t="str">
        <x:v>Kanban MAUI</x:v>
      </x:c>
      <x:c r="C22" s="104" t="str">
        <x:v>Listar espacios y tableros autorizados</x:v>
      </x:c>
      <x:c r="D22" s="104" t="str">
        <x:v>OBL</x:v>
      </x:c>
      <x:c r="E22" s="107" t="str">
        <x:v>Sí</x:v>
      </x:c>
      <x:c r="F22" s="104" t="str">
        <x:v>H3</x:v>
      </x:c>
      <x:c r="G22" s="107"/>
      <x:c r="H22" s="104" t="n">
        <x:v>4</x:v>
      </x:c>
      <x:c r="I22" s="107" t="n">
        <x:v>4</x:v>
      </x:c>
      <x:c r="J22" s="107"/>
      <x:c r="K22" s="104" t="n">
        <x:v>2</x:v>
      </x:c>
      <x:c r="L22" s="107"/>
      <x:c r="M22" s="107"/>
      <x:c r="N22" s="108" t="n">
        <x:v>0</x:v>
      </x:c>
      <x:c r="O22" s="107" t="str">
        <x:v>BACKLOG</x:v>
      </x:c>
      <x:c r="P22" s="109" t="n">
        <x:f>IF(AND(E22="Sí",O22="ACEPTADA"),K22,0)</x:f>
        <x:v>0</x:v>
      </x:c>
      <x:c r="Q22" s="109" t="n">
        <x:f>IF(E22="Sí",K22*N22,0)</x:f>
        <x:v>0</x:v>
      </x:c>
      <x:c r="R22" s="104" t="str">
        <x:v>Solo se muestran recursos accesibles y se distinguen loading, vacío y error.</x:v>
      </x:c>
      <x:c r="S22" s="104" t="str">
        <x:v>Demo vertical</x:v>
      </x:c>
      <x:c r="T22" s="104" t="str">
        <x:v>AD.SPACE.01; AD.KAN.01</x:v>
      </x:c>
      <x:c r="U22" s="107" t="str">
        <x:v>La API/backend puede ser común, pero este ítem solo se acepta por implementación y evidencia del cliente MAUI.</x:v>
      </x:c>
    </x:row>
    <x:row r="23">
      <x:c r="A23" s="104" t="str">
        <x:v>DI.KAN.02</x:v>
      </x:c>
      <x:c r="B23" s="104" t="str">
        <x:v>Kanban MAUI</x:v>
      </x:c>
      <x:c r="C23" s="104" t="str">
        <x:v>Mostrar columnas y tarjetas de un tablero compartido</x:v>
      </x:c>
      <x:c r="D23" s="104" t="str">
        <x:v>OBL</x:v>
      </x:c>
      <x:c r="E23" s="107" t="str">
        <x:v>Sí</x:v>
      </x:c>
      <x:c r="F23" s="104" t="str">
        <x:v>H3</x:v>
      </x:c>
      <x:c r="G23" s="107"/>
      <x:c r="H23" s="104" t="n">
        <x:v>5</x:v>
      </x:c>
      <x:c r="I23" s="107" t="n">
        <x:v>5</x:v>
      </x:c>
      <x:c r="J23" s="107"/>
      <x:c r="K23" s="104" t="n">
        <x:v>3</x:v>
      </x:c>
      <x:c r="L23" s="107"/>
      <x:c r="M23" s="107"/>
      <x:c r="N23" s="108" t="n">
        <x:v>0</x:v>
      </x:c>
      <x:c r="O23" s="107" t="str">
        <x:v>BACKLOG</x:v>
      </x:c>
      <x:c r="P23" s="109" t="n">
        <x:f>IF(AND(E23="Sí",O23="ACEPTADA"),K23,0)</x:f>
        <x:v>0</x:v>
      </x:c>
      <x:c r="Q23" s="109" t="n">
        <x:f>IF(E23="Sí",K23*N23,0)</x:f>
        <x:v>0</x:v>
      </x:c>
      <x:c r="R23" s="104" t="str">
        <x:v>La vista representa datos reales del backend y respeta orden/identidad de columnas y tarjetas.</x:v>
      </x:c>
      <x:c r="S23" s="104" t="str">
        <x:v>Demo + PR</x:v>
      </x:c>
      <x:c r="T23" s="104" t="str">
        <x:v>AD.KAN.02; AD.KAN.03</x:v>
      </x:c>
      <x:c r="U23" s="107" t="str"/>
    </x:row>
    <x:row r="24">
      <x:c r="A24" s="104" t="str">
        <x:v>DI.KAN.03</x:v>
      </x:c>
      <x:c r="B24" s="104" t="str">
        <x:v>Kanban MAUI</x:v>
      </x:c>
      <x:c r="C24" s="104" t="str">
        <x:v>Crear tarjeta desde el cliente de escritorio</x:v>
      </x:c>
      <x:c r="D24" s="104" t="str">
        <x:v>OBL</x:v>
      </x:c>
      <x:c r="E24" s="107" t="str">
        <x:v>Sí</x:v>
      </x:c>
      <x:c r="F24" s="104" t="str">
        <x:v>H3</x:v>
      </x:c>
      <x:c r="G24" s="107"/>
      <x:c r="H24" s="104" t="n">
        <x:v>4</x:v>
      </x:c>
      <x:c r="I24" s="107" t="n">
        <x:v>4</x:v>
      </x:c>
      <x:c r="J24" s="107"/>
      <x:c r="K24" s="104" t="n">
        <x:v>2</x:v>
      </x:c>
      <x:c r="L24" s="107"/>
      <x:c r="M24" s="107"/>
      <x:c r="N24" s="108" t="n">
        <x:v>0</x:v>
      </x:c>
      <x:c r="O24" s="107" t="str">
        <x:v>BACKLOG</x:v>
      </x:c>
      <x:c r="P24" s="109" t="n">
        <x:f>IF(AND(E24="Sí",O24="ACEPTADA"),K24,0)</x:f>
        <x:v>0</x:v>
      </x:c>
      <x:c r="Q24" s="109" t="n">
        <x:f>IF(E24="Sí",K24*N24,0)</x:f>
        <x:v>0</x:v>
      </x:c>
      <x:c r="R24" s="104" t="str">
        <x:v>La creación valida datos, persiste en backend y aparece al recargar u otro cliente.</x:v>
      </x:c>
      <x:c r="S24" s="104" t="str">
        <x:v>Test/demo</x:v>
      </x:c>
      <x:c r="T24" s="104" t="str">
        <x:v>AD.KAN.03</x:v>
      </x:c>
      <x:c r="U24" s="107" t="str"/>
    </x:row>
    <x:row r="25">
      <x:c r="A25" s="104" t="str">
        <x:v>DI.KAN.04</x:v>
      </x:c>
      <x:c r="B25" s="104" t="str">
        <x:v>Kanban MAUI</x:v>
      </x:c>
      <x:c r="C25" s="104" t="str">
        <x:v>Editar datos básicos de una tarjeta</x:v>
      </x:c>
      <x:c r="D25" s="104" t="str">
        <x:v>OBL</x:v>
      </x:c>
      <x:c r="E25" s="107" t="str">
        <x:v>Sí</x:v>
      </x:c>
      <x:c r="F25" s="104" t="str">
        <x:v>H3</x:v>
      </x:c>
      <x:c r="G25" s="107"/>
      <x:c r="H25" s="104" t="n">
        <x:v>4</x:v>
      </x:c>
      <x:c r="I25" s="107" t="n">
        <x:v>4</x:v>
      </x:c>
      <x:c r="J25" s="107"/>
      <x:c r="K25" s="104" t="n">
        <x:v>2</x:v>
      </x:c>
      <x:c r="L25" s="107"/>
      <x:c r="M25" s="107"/>
      <x:c r="N25" s="108" t="n">
        <x:v>0</x:v>
      </x:c>
      <x:c r="O25" s="107" t="str">
        <x:v>BACKLOG</x:v>
      </x:c>
      <x:c r="P25" s="109" t="n">
        <x:f>IF(AND(E25="Sí",O25="ACEPTADA"),K25,0)</x:f>
        <x:v>0</x:v>
      </x:c>
      <x:c r="Q25" s="109" t="n">
        <x:f>IF(E25="Sí",K25*N25,0)</x:f>
        <x:v>0</x:v>
      </x:c>
      <x:c r="R25" s="104" t="str">
        <x:v>Los cambios se persisten sin duplicar la fuente de verdad y los errores son recuperables.</x:v>
      </x:c>
      <x:c r="S25" s="104" t="str">
        <x:v>Demo + PR</x:v>
      </x:c>
      <x:c r="T25" s="104" t="str">
        <x:v>AD.KAN.03</x:v>
      </x:c>
      <x:c r="U25" s="107" t="str"/>
    </x:row>
    <x:row r="26">
      <x:c r="A26" s="104" t="str">
        <x:v>DI.KAN.05</x:v>
      </x:c>
      <x:c r="B26" s="104" t="str">
        <x:v>Kanban MAUI</x:v>
      </x:c>
      <x:c r="C26" s="104" t="str">
        <x:v>Mover tarjeta entre columnas y persistir posición</x:v>
      </x:c>
      <x:c r="D26" s="104" t="str">
        <x:v>OBL</x:v>
      </x:c>
      <x:c r="E26" s="107" t="str">
        <x:v>Sí</x:v>
      </x:c>
      <x:c r="F26" s="104" t="str">
        <x:v>H3</x:v>
      </x:c>
      <x:c r="G26" s="107"/>
      <x:c r="H26" s="104" t="n">
        <x:v>5</x:v>
      </x:c>
      <x:c r="I26" s="107" t="n">
        <x:v>5</x:v>
      </x:c>
      <x:c r="J26" s="107"/>
      <x:c r="K26" s="104" t="n">
        <x:v>3</x:v>
      </x:c>
      <x:c r="L26" s="107"/>
      <x:c r="M26" s="107"/>
      <x:c r="N26" s="108" t="n">
        <x:v>0</x:v>
      </x:c>
      <x:c r="O26" s="107" t="str">
        <x:v>BACKLOG</x:v>
      </x:c>
      <x:c r="P26" s="109" t="n">
        <x:f>IF(AND(E26="Sí",O26="ACEPTADA"),K26,0)</x:f>
        <x:v>0</x:v>
      </x:c>
      <x:c r="Q26" s="109" t="n">
        <x:f>IF(E26="Sí",K26*N26,0)</x:f>
        <x:v>0</x:v>
      </x:c>
      <x:c r="R26" s="104" t="str">
        <x:v>El movimiento se conserva tras recargar y respeta reglas de backend.</x:v>
      </x:c>
      <x:c r="S26" s="104" t="str">
        <x:v>Demo dos clientes</x:v>
      </x:c>
      <x:c r="T26" s="104" t="str">
        <x:v>AD.KAN.05</x:v>
      </x:c>
      <x:c r="U26" s="107" t="str"/>
    </x:row>
    <x:row r="27">
      <x:c r="A27" s="104" t="str">
        <x:v>DI.KAN.06</x:v>
      </x:c>
      <x:c r="B27" s="104" t="str">
        <x:v>Kanban MAUI</x:v>
      </x:c>
      <x:c r="C27" s="104" t="str">
        <x:v>Verificar consistencia con Flutter/segundo cliente</x:v>
      </x:c>
      <x:c r="D27" s="104" t="str">
        <x:v>OBL</x:v>
      </x:c>
      <x:c r="E27" s="107" t="str">
        <x:v>Sí</x:v>
      </x:c>
      <x:c r="F27" s="104" t="str">
        <x:v>H3</x:v>
      </x:c>
      <x:c r="G27" s="107"/>
      <x:c r="H27" s="104" t="n">
        <x:v>3</x:v>
      </x:c>
      <x:c r="I27" s="107" t="n">
        <x:v>3</x:v>
      </x:c>
      <x:c r="J27" s="107"/>
      <x:c r="K27" s="104" t="n">
        <x:v>2</x:v>
      </x:c>
      <x:c r="L27" s="107"/>
      <x:c r="M27" s="107"/>
      <x:c r="N27" s="108" t="n">
        <x:v>0</x:v>
      </x:c>
      <x:c r="O27" s="107" t="str">
        <x:v>BACKLOG</x:v>
      </x:c>
      <x:c r="P27" s="109" t="n">
        <x:f>IF(AND(E27="Sí",O27="ACEPTADA"),K27,0)</x:f>
        <x:v>0</x:v>
      </x:c>
      <x:c r="Q27" s="109" t="n">
        <x:f>IF(E27="Sí",K27*N27,0)</x:f>
        <x:v>0</x:v>
      </x:c>
      <x:c r="R27" s="104" t="str">
        <x:v>Un cambio realizado desde otro cliente aparece al refrescar o por el mecanismo contratado.</x:v>
      </x:c>
      <x:c r="S27" s="104" t="str">
        <x:v>Demo multicliente</x:v>
      </x:c>
      <x:c r="T27" s="104" t="str">
        <x:v>DI.KAN.02; PMDM.KAN.*</x:v>
      </x:c>
      <x:c r="U27" s="107" t="str"/>
    </x:row>
    <x:row r="28">
      <x:c r="A28" s="104" t="str">
        <x:v>DI.KAN.07</x:v>
      </x:c>
      <x:c r="B28" s="104" t="str">
        <x:v>Kanban MAUI</x:v>
      </x:c>
      <x:c r="C28" s="104" t="str">
        <x:v>Adaptar acciones visibles a roles/permisos</x:v>
      </x:c>
      <x:c r="D28" s="104" t="str">
        <x:v>OBL</x:v>
      </x:c>
      <x:c r="E28" s="107" t="str">
        <x:v>Sí</x:v>
      </x:c>
      <x:c r="F28" s="104" t="str">
        <x:v>H3</x:v>
      </x:c>
      <x:c r="G28" s="107"/>
      <x:c r="H28" s="104" t="n">
        <x:v>4</x:v>
      </x:c>
      <x:c r="I28" s="107" t="n">
        <x:v>4</x:v>
      </x:c>
      <x:c r="J28" s="107"/>
      <x:c r="K28" s="104" t="n">
        <x:v>2</x:v>
      </x:c>
      <x:c r="L28" s="107"/>
      <x:c r="M28" s="107"/>
      <x:c r="N28" s="108" t="n">
        <x:v>0</x:v>
      </x:c>
      <x:c r="O28" s="107" t="str">
        <x:v>BACKLOG</x:v>
      </x:c>
      <x:c r="P28" s="109" t="n">
        <x:f>IF(AND(E28="Sí",O28="ACEPTADA"),K28,0)</x:f>
        <x:v>0</x:v>
      </x:c>
      <x:c r="Q28" s="109" t="n">
        <x:f>IF(E28="Sí",K28*N28,0)</x:f>
        <x:v>0</x:v>
      </x:c>
      <x:c r="R28" s="104" t="str">
        <x:v>La UI no ofrece acciones prohibidas y el backend sigue siendo la autoridad de seguridad.</x:v>
      </x:c>
      <x:c r="S28" s="104" t="str">
        <x:v>Demo con dos roles</x:v>
      </x:c>
      <x:c r="T28" s="104" t="str">
        <x:v>AD.AUTH.06</x:v>
      </x:c>
      <x:c r="U28" s="107" t="str"/>
    </x:row>
    <x:row r="29">
      <x:c r="A29" s="104" t="str">
        <x:v>DI.QUAL.01</x:v>
      </x:c>
      <x:c r="B29" s="104" t="str">
        <x:v>Calidad escritorio</x:v>
      </x:c>
      <x:c r="C29" s="104" t="str">
        <x:v>Implementar estados loading / empty / error / retry reutilizables</x:v>
      </x:c>
      <x:c r="D29" s="104" t="str">
        <x:v>OBL</x:v>
      </x:c>
      <x:c r="E29" s="107" t="str">
        <x:v>Sí</x:v>
      </x:c>
      <x:c r="F29" s="104" t="str">
        <x:v>H3</x:v>
      </x:c>
      <x:c r="G29" s="107"/>
      <x:c r="H29" s="104" t="n">
        <x:v>3</x:v>
      </x:c>
      <x:c r="I29" s="107" t="n">
        <x:v>3</x:v>
      </x:c>
      <x:c r="J29" s="107"/>
      <x:c r="K29" s="104" t="n">
        <x:v>1</x:v>
      </x:c>
      <x:c r="L29" s="107"/>
      <x:c r="M29" s="107"/>
      <x:c r="N29" s="108" t="n">
        <x:v>0</x:v>
      </x:c>
      <x:c r="O29" s="107" t="str">
        <x:v>BACKLOG</x:v>
      </x:c>
      <x:c r="P29" s="109" t="n">
        <x:f>IF(AND(E29="Sí",O29="ACEPTADA"),K29,0)</x:f>
        <x:v>0</x:v>
      </x:c>
      <x:c r="Q29" s="109" t="n">
        <x:f>IF(E29="Sí",K29*N29,0)</x:f>
        <x:v>0</x:v>
      </x:c>
      <x:c r="R29" s="104" t="str">
        <x:v>Las pantallas críticas no quedan bloqueadas ni muestran excepciones técnicas al usuario.</x:v>
      </x:c>
      <x:c r="S29" s="104" t="str">
        <x:v>Demo + revisión</x:v>
      </x:c>
      <x:c r="T29" s="104" t="str">
        <x:v>DI.ARCH.03</x:v>
      </x:c>
      <x:c r="U29" s="107" t="str"/>
    </x:row>
    <x:row r="30">
      <x:c r="A30" s="104" t="str">
        <x:v>DI.QUAL.02</x:v>
      </x:c>
      <x:c r="B30" s="104" t="str">
        <x:v>Calidad escritorio</x:v>
      </x:c>
      <x:c r="C30" s="104" t="str">
        <x:v>Añadir pruebas de ViewModel/servicios sobre una feature crítica</x:v>
      </x:c>
      <x:c r="D30" s="104" t="str">
        <x:v>OBL</x:v>
      </x:c>
      <x:c r="E30" s="107" t="str">
        <x:v>Sí</x:v>
      </x:c>
      <x:c r="F30" s="104" t="str">
        <x:v>H4</x:v>
      </x:c>
      <x:c r="G30" s="107"/>
      <x:c r="H30" s="104" t="n">
        <x:v>4</x:v>
      </x:c>
      <x:c r="I30" s="107" t="n">
        <x:v>4</x:v>
      </x:c>
      <x:c r="J30" s="107"/>
      <x:c r="K30" s="104" t="n">
        <x:v>1</x:v>
      </x:c>
      <x:c r="L30" s="107"/>
      <x:c r="M30" s="107"/>
      <x:c r="N30" s="108" t="n">
        <x:v>0</x:v>
      </x:c>
      <x:c r="O30" s="107" t="str">
        <x:v>BACKLOG</x:v>
      </x:c>
      <x:c r="P30" s="109" t="n">
        <x:f>IF(AND(E30="Sí",O30="ACEPTADA"),K30,0)</x:f>
        <x:v>0</x:v>
      </x:c>
      <x:c r="Q30" s="109" t="n">
        <x:f>IF(E30="Sí",K30*N30,0)</x:f>
        <x:v>0</x:v>
      </x:c>
      <x:c r="R30" s="104" t="str">
        <x:v>Existe al menos una suite automatizada útil que detecta una regresión preparada.</x:v>
      </x:c>
      <x:c r="S30" s="104" t="str">
        <x:v>Tests</x:v>
      </x:c>
      <x:c r="T30" s="104" t="str">
        <x:v>DI.ARCH.03</x:v>
      </x:c>
      <x:c r="U30" s="107" t="str"/>
    </x:row>
    <x:row r="31">
      <x:c r="A31" s="104" t="str">
        <x:v>DI.QUAL.03</x:v>
      </x:c>
      <x:c r="B31" s="104" t="str">
        <x:v>Calidad escritorio</x:v>
      </x:c>
      <x:c r="C31" s="104" t="str">
        <x:v>Generar build reproducible para plataforma objetivo</x:v>
      </x:c>
      <x:c r="D31" s="104" t="str">
        <x:v>OBL</x:v>
      </x:c>
      <x:c r="E31" s="107" t="str">
        <x:v>Sí</x:v>
      </x:c>
      <x:c r="F31" s="104" t="str">
        <x:v>H4</x:v>
      </x:c>
      <x:c r="G31" s="107"/>
      <x:c r="H31" s="104" t="n">
        <x:v>3</x:v>
      </x:c>
      <x:c r="I31" s="107" t="n">
        <x:v>3</x:v>
      </x:c>
      <x:c r="J31" s="107"/>
      <x:c r="K31" s="104" t="n">
        <x:v>1</x:v>
      </x:c>
      <x:c r="L31" s="107"/>
      <x:c r="M31" s="107"/>
      <x:c r="N31" s="108" t="n">
        <x:v>0</x:v>
      </x:c>
      <x:c r="O31" s="107" t="str">
        <x:v>BACKLOG</x:v>
      </x:c>
      <x:c r="P31" s="109" t="n">
        <x:f>IF(AND(E31="Sí",O31="ACEPTADA"),K31,0)</x:f>
        <x:v>0</x:v>
      </x:c>
      <x:c r="Q31" s="109" t="n">
        <x:f>IF(E31="Sí",K31*N31,0)</x:f>
        <x:v>0</x:v>
      </x:c>
      <x:c r="R31" s="104" t="str">
        <x:v>El proyecto puede construirse desde instrucciones documentadas en un entorno limpio acordado.</x:v>
      </x:c>
      <x:c r="S31" s="104" t="str">
        <x:v>Build + runbook</x:v>
      </x:c>
      <x:c r="T31" s="104" t="str">
        <x:v>DI.ARCH.01</x:v>
      </x:c>
      <x:c r="U31" s="107" t="str"/>
    </x:row>
    <x:row r="32">
      <x:c r="A32" s="104" t="str">
        <x:v>DI.QUAL.04</x:v>
      </x:c>
      <x:c r="B32" s="104" t="str">
        <x:v>Calidad escritorio</x:v>
      </x:c>
      <x:c r="C32" s="104" t="str">
        <x:v>Revisión básica de accesibilidad y navegación por teclado</x:v>
      </x:c>
      <x:c r="D32" s="104" t="str">
        <x:v>OPT</x:v>
      </x:c>
      <x:c r="E32" s="107" t="str">
        <x:v>No</x:v>
      </x:c>
      <x:c r="F32" s="104" t="str">
        <x:v>H4</x:v>
      </x:c>
      <x:c r="G32" s="107"/>
      <x:c r="H32" s="104" t="n">
        <x:v>3</x:v>
      </x:c>
      <x:c r="I32" s="107" t="n">
        <x:v>3</x:v>
      </x:c>
      <x:c r="J32" s="107"/>
      <x:c r="K32" s="104" t="n">
        <x:v>1</x:v>
      </x:c>
      <x:c r="L32" s="107"/>
      <x:c r="M32" s="107"/>
      <x:c r="N32" s="108" t="n">
        <x:v>0</x:v>
      </x:c>
      <x:c r="O32" s="107" t="str">
        <x:v>NO CONTRATADA</x:v>
      </x:c>
      <x:c r="P32" s="109" t="n">
        <x:f>IF(AND(E32="Sí",O32="ACEPTADA"),K32,0)</x:f>
        <x:v>0</x:v>
      </x:c>
      <x:c r="Q32" s="109" t="n">
        <x:f>IF(E32="Sí",K32*N32,0)</x:f>
        <x:v>0</x:v>
      </x:c>
      <x:c r="R32" s="104" t="str">
        <x:v>Se verifican foco, etiquetas/nombres accesibles y navegación mínima en pantallas principales.</x:v>
      </x:c>
      <x:c r="S32" s="104" t="str">
        <x:v>Checklist + corrección</x:v>
      </x:c>
      <x:c r="T32" s="104" t="str">
        <x:v>DI.KAN.02</x:v>
      </x:c>
      <x:c r="U32" s="107" t="str"/>
    </x:row>
    <x:row r="33">
      <x:c r="A33" s="104" t="str">
        <x:v>DI.ADMIN.01</x:v>
      </x:c>
      <x:c r="B33" s="104" t="str">
        <x:v>Administración de espacios</x:v>
      </x:c>
      <x:c r="C33" s="104" t="str">
        <x:v>Pantalla de miembros del espacio</x:v>
      </x:c>
      <x:c r="D33" s="104" t="str">
        <x:v>OPT</x:v>
      </x:c>
      <x:c r="E33" s="107" t="str">
        <x:v>No</x:v>
      </x:c>
      <x:c r="F33" s="104" t="str">
        <x:v>H4</x:v>
      </x:c>
      <x:c r="G33" s="107"/>
      <x:c r="H33" s="104" t="n">
        <x:v>4</x:v>
      </x:c>
      <x:c r="I33" s="107" t="n">
        <x:v>4</x:v>
      </x:c>
      <x:c r="J33" s="107"/>
      <x:c r="K33" s="104" t="n">
        <x:v>2</x:v>
      </x:c>
      <x:c r="L33" s="107"/>
      <x:c r="M33" s="107"/>
      <x:c r="N33" s="108" t="n">
        <x:v>0</x:v>
      </x:c>
      <x:c r="O33" s="107" t="str">
        <x:v>NO CONTRATADA</x:v>
      </x:c>
      <x:c r="P33" s="109" t="n">
        <x:f>IF(AND(E33="Sí",O33="ACEPTADA"),K33,0)</x:f>
        <x:v>0</x:v>
      </x:c>
      <x:c r="Q33" s="109" t="n">
        <x:f>IF(E33="Sí",K33*N33,0)</x:f>
        <x:v>0</x:v>
      </x:c>
      <x:c r="R33" s="104" t="str">
        <x:v>Lista miembros con rol/estado desde la API y maneja vacío/error.</x:v>
      </x:c>
      <x:c r="S33" s="104" t="str">
        <x:v>Demo</x:v>
      </x:c>
      <x:c r="T33" s="104" t="str">
        <x:v>AD.SPACE.02</x:v>
      </x:c>
      <x:c r="U33" s="107" t="str"/>
    </x:row>
    <x:row r="34">
      <x:c r="A34" s="104" t="str">
        <x:v>DI.ADMIN.02</x:v>
      </x:c>
      <x:c r="B34" s="104" t="str">
        <x:v>Administración de espacios</x:v>
      </x:c>
      <x:c r="C34" s="104" t="str">
        <x:v>Alta/invitación de miembro desde MAUI</x:v>
      </x:c>
      <x:c r="D34" s="104" t="str">
        <x:v>OPT</x:v>
      </x:c>
      <x:c r="E34" s="107" t="str">
        <x:v>No</x:v>
      </x:c>
      <x:c r="F34" s="104" t="str">
        <x:v>H4</x:v>
      </x:c>
      <x:c r="G34" s="107"/>
      <x:c r="H34" s="104" t="n">
        <x:v>5</x:v>
      </x:c>
      <x:c r="I34" s="107" t="n">
        <x:v>5</x:v>
      </x:c>
      <x:c r="J34" s="107"/>
      <x:c r="K34" s="104" t="n">
        <x:v>3</x:v>
      </x:c>
      <x:c r="L34" s="107"/>
      <x:c r="M34" s="107"/>
      <x:c r="N34" s="108" t="n">
        <x:v>0</x:v>
      </x:c>
      <x:c r="O34" s="107" t="str">
        <x:v>NO CONTRATADA</x:v>
      </x:c>
      <x:c r="P34" s="109" t="n">
        <x:f>IF(AND(E34="Sí",O34="ACEPTADA"),K34,0)</x:f>
        <x:v>0</x:v>
      </x:c>
      <x:c r="Q34" s="109" t="n">
        <x:f>IF(E34="Sí",K34*N34,0)</x:f>
        <x:v>0</x:v>
      </x:c>
      <x:c r="R34" s="104" t="str">
        <x:v>Solo un rol autorizado puede iniciar el alta/invitación y se valida el resultado.</x:v>
      </x:c>
      <x:c r="S34" s="104" t="str">
        <x:v>Test/demo permisos</x:v>
      </x:c>
      <x:c r="T34" s="104" t="str">
        <x:v>AD.SPACE.03</x:v>
      </x:c>
      <x:c r="U34" s="107" t="str"/>
    </x:row>
    <x:row r="35">
      <x:c r="A35" s="104" t="str">
        <x:v>DI.ADMIN.03</x:v>
      </x:c>
      <x:c r="B35" s="104" t="str">
        <x:v>Administración de espacios</x:v>
      </x:c>
      <x:c r="C35" s="104" t="str">
        <x:v>Cambio de rol y baja de miembro</x:v>
      </x:c>
      <x:c r="D35" s="104" t="str">
        <x:v>ADV</x:v>
      </x:c>
      <x:c r="E35" s="107" t="str">
        <x:v>No</x:v>
      </x:c>
      <x:c r="F35" s="104" t="str">
        <x:v>H4</x:v>
      </x:c>
      <x:c r="G35" s="107"/>
      <x:c r="H35" s="104" t="n">
        <x:v>5</x:v>
      </x:c>
      <x:c r="I35" s="107" t="n">
        <x:v>5</x:v>
      </x:c>
      <x:c r="J35" s="107"/>
      <x:c r="K35" s="104" t="n">
        <x:v>3</x:v>
      </x:c>
      <x:c r="L35" s="107"/>
      <x:c r="M35" s="107"/>
      <x:c r="N35" s="108" t="n">
        <x:v>0</x:v>
      </x:c>
      <x:c r="O35" s="107" t="str">
        <x:v>NO CONTRATADA</x:v>
      </x:c>
      <x:c r="P35" s="109" t="n">
        <x:f>IF(AND(E35="Sí",O35="ACEPTADA"),K35,0)</x:f>
        <x:v>0</x:v>
      </x:c>
      <x:c r="Q35" s="109" t="n">
        <x:f>IF(E35="Sí",K35*N35,0)</x:f>
        <x:v>0</x:v>
      </x:c>
      <x:c r="R35" s="104" t="str">
        <x:v>Cambiar rol/baja modifica acceso real y queda trazable.</x:v>
      </x:c>
      <x:c r="S35" s="104" t="str">
        <x:v>Demo + test</x:v>
      </x:c>
      <x:c r="T35" s="104" t="str">
        <x:v>AD.AUTH.06</x:v>
      </x:c>
      <x:c r="U35" s="107" t="str"/>
    </x:row>
    <x:row r="36">
      <x:c r="A36" s="104" t="str">
        <x:v>DI.DASH.01</x:v>
      </x:c>
      <x:c r="B36" s="104" t="str">
        <x:v>Dashboard escritorio</x:v>
      </x:c>
      <x:c r="C36" s="104" t="str">
        <x:v>Resumen de tareas por estado/prioridad</x:v>
      </x:c>
      <x:c r="D36" s="104" t="str">
        <x:v>OPT</x:v>
      </x:c>
      <x:c r="E36" s="107" t="str">
        <x:v>No</x:v>
      </x:c>
      <x:c r="F36" s="104" t="str">
        <x:v>H4</x:v>
      </x:c>
      <x:c r="G36" s="107"/>
      <x:c r="H36" s="104" t="n">
        <x:v>4</x:v>
      </x:c>
      <x:c r="I36" s="107" t="n">
        <x:v>4</x:v>
      </x:c>
      <x:c r="J36" s="107"/>
      <x:c r="K36" s="104" t="n">
        <x:v>2</x:v>
      </x:c>
      <x:c r="L36" s="107"/>
      <x:c r="M36" s="107"/>
      <x:c r="N36" s="108" t="n">
        <x:v>0</x:v>
      </x:c>
      <x:c r="O36" s="107" t="str">
        <x:v>NO CONTRATADA</x:v>
      </x:c>
      <x:c r="P36" s="109" t="n">
        <x:f>IF(AND(E36="Sí",O36="ACEPTADA"),K36,0)</x:f>
        <x:v>0</x:v>
      </x:c>
      <x:c r="Q36" s="109" t="n">
        <x:f>IF(E36="Sí",K36*N36,0)</x:f>
        <x:v>0</x:v>
      </x:c>
      <x:c r="R36" s="104" t="str">
        <x:v>El dashboard deriva de datos reales y no duplica cálculos inconsistentes en cliente.</x:v>
      </x:c>
      <x:c r="S36" s="104" t="str">
        <x:v>Demo + consulta/API</x:v>
      </x:c>
      <x:c r="T36" s="104" t="str">
        <x:v>AD filtros/estadísticas</x:v>
      </x:c>
      <x:c r="U36" s="107" t="str"/>
    </x:row>
    <x:row r="37">
      <x:c r="A37" s="104" t="str">
        <x:v>DI.DASH.02</x:v>
      </x:c>
      <x:c r="B37" s="104" t="str">
        <x:v>Dashboard escritorio</x:v>
      </x:c>
      <x:c r="C37" s="104" t="str">
        <x:v>Gráfica de carga por miembro/equipo</x:v>
      </x:c>
      <x:c r="D37" s="104" t="str">
        <x:v>OPT</x:v>
      </x:c>
      <x:c r="E37" s="107" t="str">
        <x:v>No</x:v>
      </x:c>
      <x:c r="F37" s="104" t="str">
        <x:v>H4</x:v>
      </x:c>
      <x:c r="G37" s="107"/>
      <x:c r="H37" s="104" t="n">
        <x:v>5</x:v>
      </x:c>
      <x:c r="I37" s="107" t="n">
        <x:v>5</x:v>
      </x:c>
      <x:c r="J37" s="107"/>
      <x:c r="K37" s="104" t="n">
        <x:v>3</x:v>
      </x:c>
      <x:c r="L37" s="107"/>
      <x:c r="M37" s="107"/>
      <x:c r="N37" s="108" t="n">
        <x:v>0</x:v>
      </x:c>
      <x:c r="O37" s="107" t="str">
        <x:v>NO CONTRATADA</x:v>
      </x:c>
      <x:c r="P37" s="109" t="n">
        <x:f>IF(AND(E37="Sí",O37="ACEPTADA"),K37,0)</x:f>
        <x:v>0</x:v>
      </x:c>
      <x:c r="Q37" s="109" t="n">
        <x:f>IF(E37="Sí",K37*N37,0)</x:f>
        <x:v>0</x:v>
      </x:c>
      <x:c r="R37" s="104" t="str">
        <x:v>La visualización explica fuente y criterio de agregación y maneja datos vacíos.</x:v>
      </x:c>
      <x:c r="S37" s="104" t="str">
        <x:v>Demo + evidencia datos</x:v>
      </x:c>
      <x:c r="T37" s="104" t="str">
        <x:v>PROD carga</x:v>
      </x:c>
      <x:c r="U37" s="107" t="str"/>
    </x:row>
    <x:row r="38">
      <x:c r="A38" s="104" t="str">
        <x:v>DI.DASH.03</x:v>
      </x:c>
      <x:c r="B38" s="104" t="str">
        <x:v>Dashboard escritorio</x:v>
      </x:c>
      <x:c r="C38" s="104" t="str">
        <x:v>Exportar informe desde la vista de escritorio</x:v>
      </x:c>
      <x:c r="D38" s="104" t="str">
        <x:v>ADV</x:v>
      </x:c>
      <x:c r="E38" s="107" t="str">
        <x:v>No</x:v>
      </x:c>
      <x:c r="F38" s="104" t="str">
        <x:v>H5</x:v>
      </x:c>
      <x:c r="G38" s="107"/>
      <x:c r="H38" s="104" t="n">
        <x:v>5</x:v>
      </x:c>
      <x:c r="I38" s="107" t="n">
        <x:v>5</x:v>
      </x:c>
      <x:c r="J38" s="107"/>
      <x:c r="K38" s="104" t="n">
        <x:v>3</x:v>
      </x:c>
      <x:c r="L38" s="107"/>
      <x:c r="M38" s="107"/>
      <x:c r="N38" s="108" t="n">
        <x:v>0</x:v>
      </x:c>
      <x:c r="O38" s="107" t="str">
        <x:v>NO CONTRATADA</x:v>
      </x:c>
      <x:c r="P38" s="109" t="n">
        <x:f>IF(AND(E38="Sí",O38="ACEPTADA"),K38,0)</x:f>
        <x:v>0</x:v>
      </x:c>
      <x:c r="Q38" s="109" t="n">
        <x:f>IF(E38="Sí",K38*N38,0)</x:f>
        <x:v>0</x:v>
      </x:c>
      <x:c r="R38" s="104" t="str">
        <x:v>El informe se genera con datos autorizados y queda asociado a versión/fecha.</x:v>
      </x:c>
      <x:c r="S38" s="104" t="str">
        <x:v>PDF/CSV + demo</x:v>
      </x:c>
      <x:c r="T38" s="104" t="str">
        <x:v>LEG-05 o API report</x:v>
      </x:c>
      <x:c r="U38" s="107" t="str"/>
    </x:row>
    <x:row r="39">
      <x:c r="A39" s="104" t="str">
        <x:v>DI.UX.01</x:v>
      </x:c>
      <x:c r="B39" s="104" t="str">
        <x:v>UX avanzada</x:v>
      </x:c>
      <x:c r="C39" s="104" t="str">
        <x:v>Drag &amp; drop de tarjetas con feedback visual</x:v>
      </x:c>
      <x:c r="D39" s="104" t="str">
        <x:v>OPT</x:v>
      </x:c>
      <x:c r="E39" s="107" t="str">
        <x:v>No</x:v>
      </x:c>
      <x:c r="F39" s="104" t="str">
        <x:v>H4</x:v>
      </x:c>
      <x:c r="G39" s="107"/>
      <x:c r="H39" s="104" t="n">
        <x:v>5</x:v>
      </x:c>
      <x:c r="I39" s="107" t="n">
        <x:v>5</x:v>
      </x:c>
      <x:c r="J39" s="107"/>
      <x:c r="K39" s="104" t="n">
        <x:v>3</x:v>
      </x:c>
      <x:c r="L39" s="107"/>
      <x:c r="M39" s="107"/>
      <x:c r="N39" s="108" t="n">
        <x:v>0</x:v>
      </x:c>
      <x:c r="O39" s="107" t="str">
        <x:v>NO CONTRATADA</x:v>
      </x:c>
      <x:c r="P39" s="109" t="n">
        <x:f>IF(AND(E39="Sí",O39="ACEPTADA"),K39,0)</x:f>
        <x:v>0</x:v>
      </x:c>
      <x:c r="Q39" s="109" t="n">
        <x:f>IF(E39="Sí",K39*N39,0)</x:f>
        <x:v>0</x:v>
      </x:c>
      <x:c r="R39" s="104" t="str">
        <x:v>El usuario puede reordenar/mover sin perder consistencia si la operación falla.</x:v>
      </x:c>
      <x:c r="S39" s="104" t="str">
        <x:v>Demo + caso error</x:v>
      </x:c>
      <x:c r="T39" s="104" t="str">
        <x:v>DI.KAN.05</x:v>
      </x:c>
      <x:c r="U39" s="107" t="str"/>
    </x:row>
    <x:row r="40">
      <x:c r="A40" s="104" t="str">
        <x:v>DI.UX.02</x:v>
      </x:c>
      <x:c r="B40" s="104" t="str">
        <x:v>UX avanzada</x:v>
      </x:c>
      <x:c r="C40" s="104" t="str">
        <x:v>Búsqueda y filtros combinables en escritorio</x:v>
      </x:c>
      <x:c r="D40" s="104" t="str">
        <x:v>OPT</x:v>
      </x:c>
      <x:c r="E40" s="107" t="str">
        <x:v>No</x:v>
      </x:c>
      <x:c r="F40" s="104" t="str">
        <x:v>H4</x:v>
      </x:c>
      <x:c r="G40" s="107"/>
      <x:c r="H40" s="104" t="n">
        <x:v>4</x:v>
      </x:c>
      <x:c r="I40" s="107" t="n">
        <x:v>4</x:v>
      </x:c>
      <x:c r="J40" s="107"/>
      <x:c r="K40" s="104" t="n">
        <x:v>2</x:v>
      </x:c>
      <x:c r="L40" s="107"/>
      <x:c r="M40" s="107"/>
      <x:c r="N40" s="108" t="n">
        <x:v>0</x:v>
      </x:c>
      <x:c r="O40" s="107" t="str">
        <x:v>NO CONTRATADA</x:v>
      </x:c>
      <x:c r="P40" s="109" t="n">
        <x:f>IF(AND(E40="Sí",O40="ACEPTADA"),K40,0)</x:f>
        <x:v>0</x:v>
      </x:c>
      <x:c r="Q40" s="109" t="n">
        <x:f>IF(E40="Sí",K40*N40,0)</x:f>
        <x:v>0</x:v>
      </x:c>
      <x:c r="R40" s="104" t="str">
        <x:v>Se combinan al menos tres filtros y se conserva un estado comprensible.</x:v>
      </x:c>
      <x:c r="S40" s="104" t="str">
        <x:v>Demo + tests</x:v>
      </x:c>
      <x:c r="T40" s="104" t="str">
        <x:v>AD búsqueda/filtros</x:v>
      </x:c>
      <x:c r="U40" s="107" t="str"/>
    </x:row>
    <x:row r="41">
      <x:c r="A41" s="104" t="str">
        <x:v>DI.UX.03</x:v>
      </x:c>
      <x:c r="B41" s="104" t="str">
        <x:v>UX avanzada</x:v>
      </x:c>
      <x:c r="C41" s="104" t="str">
        <x:v>Vista calendario de tareas con navegación al tablero</x:v>
      </x:c>
      <x:c r="D41" s="104" t="str">
        <x:v>OPT</x:v>
      </x:c>
      <x:c r="E41" s="107" t="str">
        <x:v>No</x:v>
      </x:c>
      <x:c r="F41" s="104" t="str">
        <x:v>H4</x:v>
      </x:c>
      <x:c r="G41" s="107"/>
      <x:c r="H41" s="104" t="n">
        <x:v>5</x:v>
      </x:c>
      <x:c r="I41" s="107" t="n">
        <x:v>5</x:v>
      </x:c>
      <x:c r="J41" s="107"/>
      <x:c r="K41" s="104" t="n">
        <x:v>3</x:v>
      </x:c>
      <x:c r="L41" s="107"/>
      <x:c r="M41" s="107"/>
      <x:c r="N41" s="108" t="n">
        <x:v>0</x:v>
      </x:c>
      <x:c r="O41" s="107" t="str">
        <x:v>NO CONTRATADA</x:v>
      </x:c>
      <x:c r="P41" s="109" t="n">
        <x:f>IF(AND(E41="Sí",O41="ACEPTADA"),K41,0)</x:f>
        <x:v>0</x:v>
      </x:c>
      <x:c r="Q41" s="109" t="n">
        <x:f>IF(E41="Sí",K41*N41,0)</x:f>
        <x:v>0</x:v>
      </x:c>
      <x:c r="R41" s="104" t="str">
        <x:v>Las tareas fechadas aparecen en calendario y abren el recurso correcto.</x:v>
      </x:c>
      <x:c r="S41" s="104" t="str">
        <x:v>Demo</x:v>
      </x:c>
      <x:c r="T41" s="104" t="str">
        <x:v>AD fechas/calendario</x:v>
      </x:c>
      <x:c r="U41" s="107" t="str"/>
    </x:row>
    <x:row r="42">
      <x:c r="A42" s="104" t="str">
        <x:v>DI.UX.04</x:v>
      </x:c>
      <x:c r="B42" s="104" t="str">
        <x:v>UX avanzada</x:v>
      </x:c>
      <x:c r="C42" s="104" t="str">
        <x:v>Preferencias visuales/tema y persistencia local no sensible</x:v>
      </x:c>
      <x:c r="D42" s="104" t="str">
        <x:v>OPT</x:v>
      </x:c>
      <x:c r="E42" s="107" t="str">
        <x:v>No</x:v>
      </x:c>
      <x:c r="F42" s="104" t="str">
        <x:v>H4</x:v>
      </x:c>
      <x:c r="G42" s="107"/>
      <x:c r="H42" s="104" t="n">
        <x:v>3</x:v>
      </x:c>
      <x:c r="I42" s="107" t="n">
        <x:v>3</x:v>
      </x:c>
      <x:c r="J42" s="107"/>
      <x:c r="K42" s="104" t="n">
        <x:v>1</x:v>
      </x:c>
      <x:c r="L42" s="107"/>
      <x:c r="M42" s="107"/>
      <x:c r="N42" s="108" t="n">
        <x:v>0</x:v>
      </x:c>
      <x:c r="O42" s="107" t="str">
        <x:v>NO CONTRATADA</x:v>
      </x:c>
      <x:c r="P42" s="109" t="n">
        <x:f>IF(AND(E42="Sí",O42="ACEPTADA"),K42,0)</x:f>
        <x:v>0</x:v>
      </x:c>
      <x:c r="Q42" s="109" t="n">
        <x:f>IF(E42="Sí",K42*N42,0)</x:f>
        <x:v>0</x:v>
      </x:c>
      <x:c r="R42" s="104" t="str">
        <x:v>Las preferencias sobreviven reinicio y no mezclan credenciales sensibles.</x:v>
      </x:c>
      <x:c r="S42" s="104" t="str">
        <x:v>Demo reinicio</x:v>
      </x:c>
      <x:c r="T42" s="104" t="str">
        <x:v>DI.ARCH.01</x:v>
      </x:c>
      <x:c r="U42" s="107" t="str"/>
    </x:row>
    <x:row r="43">
      <x:c r="A43" s="104" t="str">
        <x:v>DI.REL.01</x:v>
      </x:c>
      <x:c r="B43" s="104" t="str">
        <x:v>Release escritorio</x:v>
      </x:c>
      <x:c r="C43" s="104" t="str">
        <x:v>Definir versión y metadatos de aplicación</x:v>
      </x:c>
      <x:c r="D43" s="104" t="str">
        <x:v>OPT</x:v>
      </x:c>
      <x:c r="E43" s="107" t="str">
        <x:v>No</x:v>
      </x:c>
      <x:c r="F43" s="104" t="str">
        <x:v>H5</x:v>
      </x:c>
      <x:c r="G43" s="107"/>
      <x:c r="H43" s="104" t="n">
        <x:v>2</x:v>
      </x:c>
      <x:c r="I43" s="107" t="n">
        <x:v>2</x:v>
      </x:c>
      <x:c r="J43" s="107"/>
      <x:c r="K43" s="104" t="n">
        <x:v>1</x:v>
      </x:c>
      <x:c r="L43" s="107"/>
      <x:c r="M43" s="107"/>
      <x:c r="N43" s="108" t="n">
        <x:v>0</x:v>
      </x:c>
      <x:c r="O43" s="107" t="str">
        <x:v>NO CONTRATADA</x:v>
      </x:c>
      <x:c r="P43" s="109" t="n">
        <x:f>IF(AND(E43="Sí",O43="ACEPTADA"),K43,0)</x:f>
        <x:v>0</x:v>
      </x:c>
      <x:c r="Q43" s="109" t="n">
        <x:f>IF(E43="Sí",K43*N43,0)</x:f>
        <x:v>0</x:v>
      </x:c>
      <x:c r="R43" s="104" t="str">
        <x:v>La versión se corresponde con release/tag y aparece en el artefacto.</x:v>
      </x:c>
      <x:c r="S43" s="104" t="str">
        <x:v>Tag + captura</x:v>
      </x:c>
      <x:c r="T43" s="104" t="str">
        <x:v>G6</x:v>
      </x:c>
      <x:c r="U43" s="107" t="str"/>
    </x:row>
    <x:row r="44">
      <x:c r="A44" s="104" t="str">
        <x:v>DI.REL.02</x:v>
      </x:c>
      <x:c r="B44" s="104" t="str">
        <x:v>Release escritorio</x:v>
      </x:c>
      <x:c r="C44" s="104" t="str">
        <x:v>Empaquetar instalador/artefacto distribuible</x:v>
      </x:c>
      <x:c r="D44" s="104" t="str">
        <x:v>ADV</x:v>
      </x:c>
      <x:c r="E44" s="107" t="str">
        <x:v>No</x:v>
      </x:c>
      <x:c r="F44" s="104" t="str">
        <x:v>H5</x:v>
      </x:c>
      <x:c r="G44" s="107"/>
      <x:c r="H44" s="104" t="n">
        <x:v>6</x:v>
      </x:c>
      <x:c r="I44" s="107" t="n">
        <x:v>6</x:v>
      </x:c>
      <x:c r="J44" s="107"/>
      <x:c r="K44" s="104" t="n">
        <x:v>4</x:v>
      </x:c>
      <x:c r="L44" s="107"/>
      <x:c r="M44" s="107"/>
      <x:c r="N44" s="108" t="n">
        <x:v>0</x:v>
      </x:c>
      <x:c r="O44" s="107" t="str">
        <x:v>NO CONTRATADA</x:v>
      </x:c>
      <x:c r="P44" s="109" t="n">
        <x:f>IF(AND(E44="Sí",O44="ACEPTADA"),K44,0)</x:f>
        <x:v>0</x:v>
      </x:c>
      <x:c r="Q44" s="109" t="n">
        <x:f>IF(E44="Sí",K44*N44,0)</x:f>
        <x:v>0</x:v>
      </x:c>
      <x:c r="R44" s="104" t="str">
        <x:v>Se genera un paquete instalable/reproducible para la plataforma objetivo.</x:v>
      </x:c>
      <x:c r="S44" s="104" t="str">
        <x:v>Artefacto + runbook</x:v>
      </x:c>
      <x:c r="T44" s="104" t="str">
        <x:v>DI.QUAL.03</x:v>
      </x:c>
      <x:c r="U44" s="107" t="str"/>
    </x:row>
    <x:row r="45">
      <x:c r="A45" s="104" t="str">
        <x:v>DI.REL.03</x:v>
      </x:c>
      <x:c r="B45" s="104" t="str">
        <x:v>Release escritorio</x:v>
      </x:c>
      <x:c r="C45" s="104" t="str">
        <x:v>Pipeline CI para build/test del cliente MAUI</x:v>
      </x:c>
      <x:c r="D45" s="104" t="str">
        <x:v>ADV</x:v>
      </x:c>
      <x:c r="E45" s="107" t="str">
        <x:v>No</x:v>
      </x:c>
      <x:c r="F45" s="104" t="str">
        <x:v>H5</x:v>
      </x:c>
      <x:c r="G45" s="107"/>
      <x:c r="H45" s="104" t="n">
        <x:v>5</x:v>
      </x:c>
      <x:c r="I45" s="107" t="n">
        <x:v>5</x:v>
      </x:c>
      <x:c r="J45" s="107"/>
      <x:c r="K45" s="104" t="n">
        <x:v>3</x:v>
      </x:c>
      <x:c r="L45" s="107"/>
      <x:c r="M45" s="107"/>
      <x:c r="N45" s="108" t="n">
        <x:v>0</x:v>
      </x:c>
      <x:c r="O45" s="107" t="str">
        <x:v>NO CONTRATADA</x:v>
      </x:c>
      <x:c r="P45" s="109" t="n">
        <x:f>IF(AND(E45="Sí",O45="ACEPTADA"),K45,0)</x:f>
        <x:v>0</x:v>
      </x:c>
      <x:c r="Q45" s="109" t="n">
        <x:f>IF(E45="Sí",K45*N45,0)</x:f>
        <x:v>0</x:v>
      </x:c>
      <x:c r="R45" s="104" t="str">
        <x:v>La CI ejecuta al menos build y tests y deja resultado asociado a commit.</x:v>
      </x:c>
      <x:c r="S45" s="104" t="str">
        <x:v>Workflow + ejecución</x:v>
      </x:c>
      <x:c r="T45" s="104" t="str">
        <x:v>DI.QUAL.02</x:v>
      </x:c>
      <x:c r="U45" s="107" t="str"/>
    </x:row>
    <x:row r="46">
      <x:c r="A46"/>
      <x:c r="B46"/>
      <x:c r="C46"/>
      <x:c r="D46"/>
      <x:c r="E46"/>
      <x:c r="F46"/>
      <x:c r="G46"/>
      <x:c r="H46"/>
      <x:c r="I46"/>
      <x:c r="J46"/>
      <x:c r="K46"/>
      <x:c r="L46"/>
      <x:c r="M46"/>
      <x:c r="N46"/>
      <x:c r="O46"/>
      <x:c r="P46"/>
      <x:c r="Q46"/>
      <x:c r="R46"/>
      <x:c r="S46"/>
      <x:c r="T46"/>
      <x:c r="U46"/>
    </x:row>
    <x:row r="47">
      <x:c r="A47"/>
      <x:c r="B47"/>
      <x:c r="C47"/>
      <x:c r="D47"/>
      <x:c r="E47"/>
      <x:c r="F47"/>
      <x:c r="G47"/>
      <x:c r="H47"/>
      <x:c r="I47"/>
      <x:c r="J47"/>
      <x:c r="K47"/>
      <x:c r="L47"/>
      <x:c r="M47"/>
      <x:c r="N47"/>
      <x:c r="O47"/>
      <x:c r="P47"/>
      <x:c r="Q47"/>
      <x:c r="R47"/>
      <x:c r="S47"/>
      <x:c r="T47"/>
      <x:c r="U47"/>
    </x:row>
    <x:row r="48">
      <x:c r="A48"/>
      <x:c r="B48"/>
      <x:c r="C48"/>
      <x:c r="D48"/>
      <x:c r="E48"/>
      <x:c r="F48"/>
      <x:c r="G48"/>
      <x:c r="H48"/>
      <x:c r="I48"/>
      <x:c r="J48"/>
      <x:c r="K48"/>
      <x:c r="L48"/>
      <x:c r="M48"/>
      <x:c r="N48"/>
      <x:c r="O48"/>
      <x:c r="P48"/>
      <x:c r="Q48"/>
      <x:c r="R48"/>
      <x:c r="S48"/>
      <x:c r="T48"/>
      <x:c r="U48"/>
    </x:row>
    <x:row r="49">
      <x:c r="A49"/>
      <x:c r="B49"/>
      <x:c r="C49"/>
      <x:c r="D49"/>
      <x:c r="E49"/>
      <x:c r="F49"/>
      <x:c r="G49"/>
      <x:c r="H49"/>
      <x:c r="I49"/>
      <x:c r="J49"/>
      <x:c r="K49"/>
      <x:c r="L49"/>
      <x:c r="M49"/>
      <x:c r="N49"/>
      <x:c r="O49"/>
      <x:c r="P49"/>
      <x:c r="Q49"/>
      <x:c r="R49"/>
      <x:c r="S49"/>
      <x:c r="T49"/>
      <x:c r="U49"/>
    </x:row>
  </x:sheetData>
  <x:mergeCells>
    <x:mergeCell ref="A1:U1"/>
    <x:mergeCell ref="A2:U2"/>
  </x:mergeCells>
  <x:conditionalFormatting sqref="D15:D45">
    <x:cfRule type="expression" dxfId="24" priority="1">
      <x:formula>D15="OBL"</x:formula>
    </x:cfRule>
    <x:cfRule type="expression" dxfId="25" priority="2">
      <x:formula>D15="ADV"</x:formula>
    </x:cfRule>
    <x:cfRule type="expression" dxfId="26" priority="3">
      <x:formula>D15="OPT"</x:formula>
    </x:cfRule>
  </x:conditionalFormatting>
  <x:conditionalFormatting sqref="N15:N45">
    <x:cfRule type="dataBar" priority="4">
      <x:dataBar>
        <x:cfvo type="min"/>
        <x:cfvo type="max"/>
        <x:color rgb="FFA02B93"/>
      </x:dataBar>
      <x:extLst>
        <x:ext xmlns:x14="http://schemas.microsoft.com/office/spreadsheetml/2009/9/main" uri="{B025F937-C7B1-47D3-B67F-A62EFF666E3E}">
          <x14:id>{4B62F353-7EB6-0376-4693-005E6BA41B7E}</x14:id>
        </x:ext>
      </x:extLst>
    </x:cfRule>
  </x:conditionalFormatting>
  <x:dataValidations count="5">
    <x:dataValidation type="list" sqref="D15:D45">
      <x:formula1>"OBL,OPT,ADV"</x:formula1>
    </x:dataValidation>
    <x:dataValidation type="list" sqref="E15:E45">
      <x:formula1>"Sí,No"</x:formula1>
    </x:dataValidation>
    <x:dataValidation type="list" sqref="O15:O45">
      <x:formula1>"NO CONTRATADA,BACKLOG,PLANIFICADA,EN DESARROLLO,EN REVISIÓN,ACEPTADA,BLOQUEADA,RECUPERACIÓN"</x:formula1>
    </x:dataValidation>
    <x:dataValidation type="list" sqref="G15:G45">
      <x:formula1>"H0,H1,H2,H3,H4,H5"</x:formula1>
    </x:dataValidation>
    <x:dataValidation type="list" sqref="L15:L45">
      <x:formula1>'16 Contrato firma'!$B$7:$B$10</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4" id="{4B62F353-7EB6-0376-4693-005E6BA41B7E}">
            <x14:dataBar gradient="1">
              <x14:cfvo type="min"/>
              <x14:cfvo type="max"/>
              <x14:fillColor rgb="FFA02B93"/>
            </x14:dataBar>
          </x14:cfRule>
          <xm:sqref>N15:N45</xm:sqref>
        </x14:conditionalFormatting>
      </x14:conditionalFormattings>
    </x:ext>
  </x:extLst>
</x:worksheet>
</file>

<file path=xl/worksheets/sheet8.xml><?xml version="1.0" encoding="utf-8"?>
<x:worksheet xmlns:x="http://schemas.openxmlformats.org/spreadsheetml/2006/main">
  <x:sheetFormatPr defaultRowHeight="15"/>
  <x:cols>
    <x:col min="1" max="1" width="16" hidden="0" customWidth="1"/>
    <x:col min="2" max="2" width="24" hidden="0" customWidth="1"/>
    <x:col min="3" max="3" width="48" hidden="0" customWidth="1"/>
    <x:col min="4" max="4" width="9" hidden="0" customWidth="1"/>
    <x:col min="5" max="5" width="11" hidden="0" customWidth="1"/>
    <x:col min="6" max="6" width="14" hidden="0" customWidth="1"/>
    <x:col min="7" max="7" width="14" hidden="0" customWidth="1"/>
    <x:col min="8" max="8" width="12" hidden="0" customWidth="1"/>
    <x:col min="9" max="9" width="12" hidden="0" customWidth="1"/>
    <x:col min="10" max="10" width="12" hidden="0" customWidth="1"/>
    <x:col min="11" max="11" width="7" hidden="0" customWidth="1"/>
    <x:col min="12" max="12" width="16" hidden="0" customWidth="1"/>
    <x:col min="13" max="13" width="10" hidden="0" customWidth="1"/>
    <x:col min="14" max="14" width="10" hidden="0" customWidth="1"/>
    <x:col min="15" max="15" width="16" hidden="0" customWidth="1"/>
    <x:col min="16" max="16" width="11" hidden="0" customWidth="1"/>
    <x:col min="17" max="17" width="11" hidden="0" customWidth="1"/>
    <x:col min="18" max="18" width="52" hidden="0" customWidth="1"/>
    <x:col min="19" max="19" width="30" hidden="0" customWidth="1"/>
    <x:col min="20" max="20" width="28" hidden="0" customWidth="1"/>
    <x:col min="21" max="21" width="28" hidden="0" customWidth="1"/>
  </x:cols>
  <x:sheetData>
    <x:row r="1" ht="28" customHeight="1">
      <x:c r="A1" s="88" t="str">
        <x:v>Programación de Servicios y Procesos · Presupuesto de tareas · AulaFlow 2.0 · v1.0 · copia operativa</x:v>
      </x:c>
      <x:c r="B1" s="88"/>
      <x:c r="C1" s="88"/>
      <x:c r="D1" s="88"/>
      <x:c r="E1" s="88"/>
      <x:c r="F1" s="88"/>
      <x:c r="G1" s="88"/>
      <x:c r="H1" s="88"/>
      <x:c r="I1" s="88"/>
      <x:c r="J1" s="88"/>
      <x:c r="K1" s="88"/>
      <x:c r="L1" s="88"/>
      <x:c r="M1" s="88"/>
      <x:c r="N1" s="88"/>
      <x:c r="O1" s="88"/>
      <x:c r="P1" s="88"/>
      <x:c r="Q1" s="88"/>
      <x:c r="R1" s="88"/>
      <x:c r="S1" s="88"/>
      <x:c r="T1" s="88"/>
      <x:c r="U1" s="88"/>
    </x:row>
    <x:row r="2" ht="40" customHeight="1">
      <x:c r="A2" s="91" t="str">
        <x:v>Banco opcional/avanzado para tiempo real, presencia, jobs, eventos fiables y notificaciones. No altera la evaluación propia del módulo; define entregables que pueden integrarse en AulaFlow. Las horas son horas-persona totales del equipo para cada tarea.</x:v>
      </x:c>
      <x:c r="B2" s="91"/>
      <x:c r="C2" s="91"/>
      <x:c r="D2" s="91"/>
      <x:c r="E2" s="91"/>
      <x:c r="F2" s="91"/>
      <x:c r="G2" s="91"/>
      <x:c r="H2" s="91"/>
      <x:c r="I2" s="91"/>
      <x:c r="J2" s="91"/>
      <x:c r="K2" s="91"/>
      <x:c r="L2" s="91"/>
      <x:c r="M2" s="91"/>
      <x:c r="N2" s="91"/>
      <x:c r="O2" s="91"/>
      <x:c r="P2" s="91"/>
      <x:c r="Q2" s="91"/>
      <x:c r="R2" s="91"/>
      <x:c r="S2" s="91"/>
      <x:c r="T2" s="91"/>
      <x:c r="U2" s="91"/>
    </x:row>
    <x:row r="3">
      <x:c r="A3"/>
      <x:c r="B3"/>
      <x:c r="C3"/>
      <x:c r="D3"/>
      <x:c r="E3"/>
      <x:c r="F3"/>
      <x:c r="G3"/>
      <x:c r="H3"/>
      <x:c r="I3"/>
      <x:c r="J3"/>
      <x:c r="K3"/>
      <x:c r="L3"/>
      <x:c r="M3"/>
      <x:c r="N3"/>
      <x:c r="O3"/>
      <x:c r="P3"/>
      <x:c r="Q3"/>
      <x:c r="R3"/>
      <x:c r="S3"/>
      <x:c r="T3"/>
      <x:c r="U3"/>
    </x:row>
    <x:row r="4">
      <x:c r="A4" s="114" t="str">
        <x:v>RESUMEN</x:v>
      </x:c>
      <x:c r="B4" s="114" t="str">
        <x:v>VALOR</x:v>
      </x:c>
      <x:c r="C4"/>
      <x:c r="D4"/>
      <x:c r="E4"/>
      <x:c r="F4"/>
      <x:c r="G4"/>
      <x:c r="H4"/>
      <x:c r="I4"/>
      <x:c r="J4"/>
      <x:c r="K4"/>
      <x:c r="L4"/>
      <x:c r="M4"/>
      <x:c r="N4"/>
      <x:c r="O4"/>
      <x:c r="P4"/>
      <x:c r="Q4"/>
      <x:c r="R4"/>
      <x:c r="S4"/>
      <x:c r="T4"/>
      <x:c r="U4"/>
    </x:row>
    <x:row r="5">
      <x:c r="A5" s="116" t="str">
        <x:v>AT obligatorios ofertados</x:v>
      </x:c>
      <x:c r="B5" s="117" t="n">
        <x:f>SUMIF(D15:D39,"OBL",K15:K39)</x:f>
        <x:v>0</x:v>
      </x:c>
      <x:c r="C5"/>
      <x:c r="D5"/>
      <x:c r="E5"/>
      <x:c r="F5"/>
      <x:c r="G5"/>
      <x:c r="H5"/>
      <x:c r="I5"/>
      <x:c r="J5"/>
      <x:c r="K5"/>
      <x:c r="L5"/>
      <x:c r="M5"/>
      <x:c r="N5"/>
      <x:c r="O5"/>
      <x:c r="P5"/>
      <x:c r="Q5"/>
      <x:c r="R5"/>
      <x:c r="S5"/>
      <x:c r="T5"/>
      <x:c r="U5"/>
    </x:row>
    <x:row r="6">
      <x:c r="A6" s="116" t="str">
        <x:v>AT totales ofertados</x:v>
      </x:c>
      <x:c r="B6" s="117" t="n">
        <x:f>SUM(K15:K39)</x:f>
        <x:v>61</x:v>
      </x:c>
      <x:c r="C6"/>
      <x:c r="D6"/>
      <x:c r="E6"/>
      <x:c r="F6"/>
      <x:c r="G6"/>
      <x:c r="H6"/>
      <x:c r="I6"/>
      <x:c r="J6"/>
      <x:c r="K6"/>
      <x:c r="L6"/>
      <x:c r="M6"/>
      <x:c r="N6"/>
      <x:c r="O6"/>
      <x:c r="P6"/>
      <x:c r="Q6"/>
      <x:c r="R6"/>
      <x:c r="S6"/>
      <x:c r="T6"/>
      <x:c r="U6"/>
    </x:row>
    <x:row r="7">
      <x:c r="A7" s="116" t="str">
        <x:v>AT seleccionados</x:v>
      </x:c>
      <x:c r="B7" s="117" t="n">
        <x:f>SUMIF(E15:E39,"Sí",K15:K39)</x:f>
        <x:v>0</x:v>
      </x:c>
      <x:c r="C7"/>
      <x:c r="D7"/>
      <x:c r="E7"/>
      <x:c r="F7"/>
      <x:c r="G7"/>
      <x:c r="H7"/>
      <x:c r="I7"/>
      <x:c r="J7"/>
      <x:c r="K7"/>
      <x:c r="L7"/>
      <x:c r="M7"/>
      <x:c r="N7"/>
      <x:c r="O7"/>
      <x:c r="P7"/>
      <x:c r="Q7"/>
      <x:c r="R7"/>
      <x:c r="S7"/>
      <x:c r="T7"/>
      <x:c r="U7"/>
    </x:row>
    <x:row r="8">
      <x:c r="A8" s="116" t="str">
        <x:v>AT validados</x:v>
      </x:c>
      <x:c r="B8" s="117" t="n">
        <x:f>SUM(P15:P39)</x:f>
        <x:v>0</x:v>
      </x:c>
      <x:c r="C8"/>
      <x:c r="D8"/>
      <x:c r="E8"/>
      <x:c r="F8"/>
      <x:c r="G8"/>
      <x:c r="H8"/>
      <x:c r="I8"/>
      <x:c r="J8"/>
      <x:c r="K8"/>
      <x:c r="L8"/>
      <x:c r="M8"/>
      <x:c r="N8"/>
      <x:c r="O8"/>
      <x:c r="P8"/>
      <x:c r="Q8"/>
      <x:c r="R8"/>
      <x:c r="S8"/>
      <x:c r="T8"/>
      <x:c r="U8"/>
    </x:row>
    <x:row r="9">
      <x:c r="A9" s="116" t="str">
        <x:v>Horas recomendadas seleccionadas</x:v>
      </x:c>
      <x:c r="B9" s="117" t="n">
        <x:f>SUMIF(E15:E39,"Sí",H15:H39)</x:f>
        <x:v>0</x:v>
      </x:c>
      <x:c r="C9"/>
      <x:c r="D9"/>
      <x:c r="E9"/>
      <x:c r="F9"/>
      <x:c r="G9"/>
      <x:c r="H9"/>
      <x:c r="I9"/>
      <x:c r="J9"/>
      <x:c r="K9"/>
      <x:c r="L9"/>
      <x:c r="M9"/>
      <x:c r="N9"/>
      <x:c r="O9"/>
      <x:c r="P9"/>
      <x:c r="Q9"/>
      <x:c r="R9"/>
      <x:c r="S9"/>
      <x:c r="T9"/>
      <x:c r="U9"/>
    </x:row>
    <x:row r="10">
      <x:c r="A10" s="116" t="str">
        <x:v>Horas presupuestadas seleccionadas</x:v>
      </x:c>
      <x:c r="B10" s="117" t="n">
        <x:f>SUMIF(E15:E39,"Sí",I15:I39)</x:f>
        <x:v>0</x:v>
      </x:c>
      <x:c r="C10"/>
      <x:c r="D10"/>
      <x:c r="E10"/>
      <x:c r="F10"/>
      <x:c r="G10"/>
      <x:c r="H10"/>
      <x:c r="I10"/>
      <x:c r="J10"/>
      <x:c r="K10"/>
      <x:c r="L10"/>
      <x:c r="M10"/>
      <x:c r="N10"/>
      <x:c r="O10"/>
      <x:c r="P10"/>
      <x:c r="Q10"/>
      <x:c r="R10"/>
      <x:c r="S10"/>
      <x:c r="T10"/>
      <x:c r="U10"/>
    </x:row>
    <x:row r="11">
      <x:c r="A11" s="116" t="str">
        <x:v>Horas dedicadas</x:v>
      </x:c>
      <x:c r="B11" s="117" t="n">
        <x:f>SUM(J15:J39)</x:f>
        <x:v>0</x:v>
      </x:c>
      <x:c r="C11"/>
      <x:c r="D11"/>
      <x:c r="E11"/>
      <x:c r="F11"/>
      <x:c r="G11"/>
      <x:c r="H11"/>
      <x:c r="I11"/>
      <x:c r="J11"/>
      <x:c r="K11"/>
      <x:c r="L11"/>
      <x:c r="M11"/>
      <x:c r="N11"/>
      <x:c r="O11"/>
      <x:c r="P11"/>
      <x:c r="Q11"/>
      <x:c r="R11"/>
      <x:c r="S11"/>
      <x:c r="T11"/>
      <x:c r="U11"/>
    </x:row>
    <x:row r="12">
      <x:c r="A12" s="116" t="str">
        <x:v>Progreso ponderado por AT</x:v>
      </x:c>
      <x:c r="B12" s="118" t="n">
        <x:f>IF(B7=0,0,SUM(Q15:Q39)/B7)</x:f>
        <x:v>0</x:v>
      </x:c>
      <x:c r="C12"/>
      <x:c r="D12"/>
      <x:c r="E12"/>
      <x:c r="F12"/>
      <x:c r="G12"/>
      <x:c r="H12"/>
      <x:c r="I12"/>
      <x:c r="J12"/>
      <x:c r="K12"/>
      <x:c r="L12"/>
      <x:c r="M12"/>
      <x:c r="N12"/>
      <x:c r="O12"/>
      <x:c r="P12"/>
      <x:c r="Q12"/>
      <x:c r="R12"/>
      <x:c r="S12"/>
      <x:c r="T12"/>
      <x:c r="U12"/>
    </x:row>
    <x:row r="13">
      <x:c r="A13"/>
      <x:c r="B13"/>
      <x:c r="C13"/>
      <x:c r="D13"/>
      <x:c r="E13"/>
      <x:c r="F13"/>
      <x:c r="G13"/>
      <x:c r="H13"/>
      <x:c r="I13"/>
      <x:c r="J13"/>
      <x:c r="K13"/>
      <x:c r="L13"/>
      <x:c r="M13"/>
      <x:c r="N13"/>
      <x:c r="O13"/>
      <x:c r="P13"/>
      <x:c r="Q13"/>
      <x:c r="R13"/>
      <x:c r="S13"/>
      <x:c r="T13"/>
      <x:c r="U13"/>
    </x:row>
    <x:row r="14" ht="44" customHeight="1">
      <x:c r="A14" s="100" t="str">
        <x:v>ID</x:v>
      </x:c>
      <x:c r="B14" s="100" t="str">
        <x:v>Especificación / funcionalidad</x:v>
      </x:c>
      <x:c r="C14" s="100" t="str">
        <x:v>Tarea / entregable</x:v>
      </x:c>
      <x:c r="D14" s="100" t="str">
        <x:v>Tipo</x:v>
      </x:c>
      <x:c r="E14" s="100" t="str">
        <x:v>Seleccionada</x:v>
      </x:c>
      <x:c r="F14" s="100" t="str">
        <x:v>Hito recomendado</x:v>
      </x:c>
      <x:c r="G14" s="100" t="str">
        <x:v>Hito elegido</x:v>
      </x:c>
      <x:c r="H14" s="100" t="str">
        <x:v>Horas recomendadas (equipo)</x:v>
      </x:c>
      <x:c r="I14" s="100" t="str">
        <x:v>Horas presupuestadas (equipo)</x:v>
      </x:c>
      <x:c r="J14" s="100" t="str">
        <x:v>Horas dedicadas (equipo)</x:v>
      </x:c>
      <x:c r="K14" s="100" t="str">
        <x:v>AT</x:v>
      </x:c>
      <x:c r="L14" s="100" t="str">
        <x:v>Responsable</x:v>
      </x:c>
      <x:c r="M14" s="100" t="str">
        <x:v>Sprint</x:v>
      </x:c>
      <x:c r="N14" s="100" t="str">
        <x:v>% realizado</x:v>
      </x:c>
      <x:c r="O14" s="100" t="str">
        <x:v>Estado</x:v>
      </x:c>
      <x:c r="P14" s="100" t="str">
        <x:v>AT validados</x:v>
      </x:c>
      <x:c r="Q14" s="100" t="str">
        <x:v>AT progreso</x:v>
      </x:c>
      <x:c r="R14" s="100" t="str">
        <x:v>Criterios de aceptación</x:v>
      </x:c>
      <x:c r="S14" s="100" t="str">
        <x:v>Evidencia esperada</x:v>
      </x:c>
      <x:c r="T14" s="100" t="str">
        <x:v>Dependencias</x:v>
      </x:c>
      <x:c r="U14" s="100" t="str">
        <x:v>Observaciones</x:v>
      </x:c>
    </x:row>
    <x:row r="15">
      <x:c r="A15" s="104" t="str">
        <x:v>PSP.RT.01</x:v>
      </x:c>
      <x:c r="B15" s="104" t="str">
        <x:v>Tiempo real WebSocket</x:v>
      </x:c>
      <x:c r="C15" s="104" t="str">
        <x:v>Definir eventos y payloads del tablero compartido</x:v>
      </x:c>
      <x:c r="D15" s="104" t="str">
        <x:v>OPT</x:v>
      </x:c>
      <x:c r="E15" s="107" t="str">
        <x:v>No</x:v>
      </x:c>
      <x:c r="F15" s="104" t="str">
        <x:v>H3</x:v>
      </x:c>
      <x:c r="G15" s="107"/>
      <x:c r="H15" s="104" t="n">
        <x:v>3</x:v>
      </x:c>
      <x:c r="I15" s="107" t="n">
        <x:v>3</x:v>
      </x:c>
      <x:c r="J15" s="107"/>
      <x:c r="K15" s="104" t="n">
        <x:v>2</x:v>
      </x:c>
      <x:c r="L15" s="107"/>
      <x:c r="M15" s="107"/>
      <x:c r="N15" s="108" t="n">
        <x:v>0</x:v>
      </x:c>
      <x:c r="O15" s="107" t="str">
        <x:v>NO CONTRATADA</x:v>
      </x:c>
      <x:c r="P15" s="109" t="n">
        <x:f>IF(AND(E15="Sí",O15="ACEPTADA"),K15,0)</x:f>
        <x:v>0</x:v>
      </x:c>
      <x:c r="Q15" s="109" t="n">
        <x:f>IF(E15="Sí",K15*N15,0)</x:f>
        <x:v>0</x:v>
      </x:c>
      <x:c r="R15" s="104" t="str">
        <x:v>Existe contrato de eventos versionado con nombres, payload y errores básicos.</x:v>
      </x:c>
      <x:c r="S15" s="104" t="str">
        <x:v>Spec/event schema</x:v>
      </x:c>
      <x:c r="T15" s="104" t="str">
        <x:v>AD.KAN.*</x:v>
      </x:c>
      <x:c r="U15" s="107" t="str"/>
    </x:row>
    <x:row r="16">
      <x:c r="A16" s="104" t="str">
        <x:v>PSP.RT.02</x:v>
      </x:c>
      <x:c r="B16" s="104" t="str">
        <x:v>Tiempo real WebSocket</x:v>
      </x:c>
      <x:c r="C16" s="104" t="str">
        <x:v>Abrir canal WebSocket autenticado</x:v>
      </x:c>
      <x:c r="D16" s="104" t="str">
        <x:v>OPT</x:v>
      </x:c>
      <x:c r="E16" s="107" t="str">
        <x:v>No</x:v>
      </x:c>
      <x:c r="F16" s="104" t="str">
        <x:v>H3</x:v>
      </x:c>
      <x:c r="G16" s="107"/>
      <x:c r="H16" s="104" t="n">
        <x:v>5</x:v>
      </x:c>
      <x:c r="I16" s="107" t="n">
        <x:v>5</x:v>
      </x:c>
      <x:c r="J16" s="107"/>
      <x:c r="K16" s="104" t="n">
        <x:v>3</x:v>
      </x:c>
      <x:c r="L16" s="107"/>
      <x:c r="M16" s="107"/>
      <x:c r="N16" s="108" t="n">
        <x:v>0</x:v>
      </x:c>
      <x:c r="O16" s="107" t="str">
        <x:v>NO CONTRATADA</x:v>
      </x:c>
      <x:c r="P16" s="109" t="n">
        <x:f>IF(AND(E16="Sí",O16="ACEPTADA"),K16,0)</x:f>
        <x:v>0</x:v>
      </x:c>
      <x:c r="Q16" s="109" t="n">
        <x:f>IF(E16="Sí",K16*N16,0)</x:f>
        <x:v>0</x:v>
      </x:c>
      <x:c r="R16" s="104" t="str">
        <x:v>La conexión identifica al usuario y rechaza accesos no válidos.</x:v>
      </x:c>
      <x:c r="S16" s="104" t="str">
        <x:v>Test integración + logs</x:v>
      </x:c>
      <x:c r="T16" s="104" t="str">
        <x:v>AD.AUTH.*</x:v>
      </x:c>
      <x:c r="U16" s="107" t="str"/>
    </x:row>
    <x:row r="17">
      <x:c r="A17" s="104" t="str">
        <x:v>PSP.RT.03</x:v>
      </x:c>
      <x:c r="B17" s="104" t="str">
        <x:v>Tiempo real WebSocket</x:v>
      </x:c>
      <x:c r="C17" s="104" t="str">
        <x:v>Suscribir clientes solo a espacios/tableros autorizados</x:v>
      </x:c>
      <x:c r="D17" s="104" t="str">
        <x:v>OPT</x:v>
      </x:c>
      <x:c r="E17" s="107" t="str">
        <x:v>No</x:v>
      </x:c>
      <x:c r="F17" s="104" t="str">
        <x:v>H3</x:v>
      </x:c>
      <x:c r="G17" s="107"/>
      <x:c r="H17" s="104" t="n">
        <x:v>5</x:v>
      </x:c>
      <x:c r="I17" s="107" t="n">
        <x:v>5</x:v>
      </x:c>
      <x:c r="J17" s="107"/>
      <x:c r="K17" s="104" t="n">
        <x:v>3</x:v>
      </x:c>
      <x:c r="L17" s="107"/>
      <x:c r="M17" s="107"/>
      <x:c r="N17" s="108" t="n">
        <x:v>0</x:v>
      </x:c>
      <x:c r="O17" s="107" t="str">
        <x:v>NO CONTRATADA</x:v>
      </x:c>
      <x:c r="P17" s="109" t="n">
        <x:f>IF(AND(E17="Sí",O17="ACEPTADA"),K17,0)</x:f>
        <x:v>0</x:v>
      </x:c>
      <x:c r="Q17" s="109" t="n">
        <x:f>IF(E17="Sí",K17*N17,0)</x:f>
        <x:v>0</x:v>
      </x:c>
      <x:c r="R17" s="104" t="str">
        <x:v>Un usuario no recibe eventos de recursos a los que no pertenece.</x:v>
      </x:c>
      <x:c r="S17" s="104" t="str">
        <x:v>Test negativo</x:v>
      </x:c>
      <x:c r="T17" s="104" t="str">
        <x:v>PSP.RT.02; AD.SPACE.*</x:v>
      </x:c>
      <x:c r="U17" s="107" t="str"/>
    </x:row>
    <x:row r="18">
      <x:c r="A18" s="104" t="str">
        <x:v>PSP.RT.04</x:v>
      </x:c>
      <x:c r="B18" s="104" t="str">
        <x:v>Tiempo real WebSocket</x:v>
      </x:c>
      <x:c r="C18" s="104" t="str">
        <x:v>Emitir evento al crear/editar/mover tarjeta</x:v>
      </x:c>
      <x:c r="D18" s="104" t="str">
        <x:v>OPT</x:v>
      </x:c>
      <x:c r="E18" s="107" t="str">
        <x:v>No</x:v>
      </x:c>
      <x:c r="F18" s="104" t="str">
        <x:v>H3</x:v>
      </x:c>
      <x:c r="G18" s="107"/>
      <x:c r="H18" s="104" t="n">
        <x:v>5</x:v>
      </x:c>
      <x:c r="I18" s="107" t="n">
        <x:v>5</x:v>
      </x:c>
      <x:c r="J18" s="107"/>
      <x:c r="K18" s="104" t="n">
        <x:v>3</x:v>
      </x:c>
      <x:c r="L18" s="107"/>
      <x:c r="M18" s="107"/>
      <x:c r="N18" s="108" t="n">
        <x:v>0</x:v>
      </x:c>
      <x:c r="O18" s="107" t="str">
        <x:v>NO CONTRATADA</x:v>
      </x:c>
      <x:c r="P18" s="109" t="n">
        <x:f>IF(AND(E18="Sí",O18="ACEPTADA"),K18,0)</x:f>
        <x:v>0</x:v>
      </x:c>
      <x:c r="Q18" s="109" t="n">
        <x:f>IF(E18="Sí",K18*N18,0)</x:f>
        <x:v>0</x:v>
      </x:c>
      <x:c r="R18" s="104" t="str">
        <x:v>La operación de dominio genera un evento único y coherente con el estado persistido.</x:v>
      </x:c>
      <x:c r="S18" s="104" t="str">
        <x:v>Test + demo dos clientes</x:v>
      </x:c>
      <x:c r="T18" s="104" t="str">
        <x:v>PSP.RT.01; AD.KAN.*</x:v>
      </x:c>
      <x:c r="U18" s="107" t="str"/>
    </x:row>
    <x:row r="19">
      <x:c r="A19" s="104" t="str">
        <x:v>PSP.RT.05</x:v>
      </x:c>
      <x:c r="B19" s="104" t="str">
        <x:v>Tiempo real WebSocket</x:v>
      </x:c>
      <x:c r="C19" s="104" t="str">
        <x:v>Actualizar Flutter/MAUI sin recarga manual</x:v>
      </x:c>
      <x:c r="D19" s="104" t="str">
        <x:v>ADV</x:v>
      </x:c>
      <x:c r="E19" s="107" t="str">
        <x:v>No</x:v>
      </x:c>
      <x:c r="F19" s="104" t="str">
        <x:v>H4</x:v>
      </x:c>
      <x:c r="G19" s="107"/>
      <x:c r="H19" s="104" t="n">
        <x:v>6</x:v>
      </x:c>
      <x:c r="I19" s="107" t="n">
        <x:v>6</x:v>
      </x:c>
      <x:c r="J19" s="107"/>
      <x:c r="K19" s="104" t="n">
        <x:v>4</x:v>
      </x:c>
      <x:c r="L19" s="107"/>
      <x:c r="M19" s="107"/>
      <x:c r="N19" s="108" t="n">
        <x:v>0</x:v>
      </x:c>
      <x:c r="O19" s="107" t="str">
        <x:v>NO CONTRATADA</x:v>
      </x:c>
      <x:c r="P19" s="109" t="n">
        <x:f>IF(AND(E19="Sí",O19="ACEPTADA"),K19,0)</x:f>
        <x:v>0</x:v>
      </x:c>
      <x:c r="Q19" s="109" t="n">
        <x:f>IF(E19="Sí",K19*N19,0)</x:f>
        <x:v>0</x:v>
      </x:c>
      <x:c r="R19" s="104" t="str">
        <x:v>Dos clientes muestran el cambio contratado sin refresco manual y sin duplicados visibles.</x:v>
      </x:c>
      <x:c r="S19" s="104" t="str">
        <x:v>Demo simultánea</x:v>
      </x:c>
      <x:c r="T19" s="104" t="str">
        <x:v>PSP.RT.04; clientes</x:v>
      </x:c>
      <x:c r="U19" s="107" t="str"/>
    </x:row>
    <x:row r="20">
      <x:c r="A20" s="104" t="str">
        <x:v>PSP.RT.06</x:v>
      </x:c>
      <x:c r="B20" s="104" t="str">
        <x:v>Tiempo real WebSocket</x:v>
      </x:c>
      <x:c r="C20" s="104" t="str">
        <x:v>Implementar reconexión y resincronización tras corte</x:v>
      </x:c>
      <x:c r="D20" s="104" t="str">
        <x:v>ADV</x:v>
      </x:c>
      <x:c r="E20" s="107" t="str">
        <x:v>No</x:v>
      </x:c>
      <x:c r="F20" s="104" t="str">
        <x:v>H4</x:v>
      </x:c>
      <x:c r="G20" s="107"/>
      <x:c r="H20" s="104" t="n">
        <x:v>6</x:v>
      </x:c>
      <x:c r="I20" s="107" t="n">
        <x:v>6</x:v>
      </x:c>
      <x:c r="J20" s="107"/>
      <x:c r="K20" s="104" t="n">
        <x:v>4</x:v>
      </x:c>
      <x:c r="L20" s="107"/>
      <x:c r="M20" s="107"/>
      <x:c r="N20" s="108" t="n">
        <x:v>0</x:v>
      </x:c>
      <x:c r="O20" s="107" t="str">
        <x:v>NO CONTRATADA</x:v>
      </x:c>
      <x:c r="P20" s="109" t="n">
        <x:f>IF(AND(E20="Sí",O20="ACEPTADA"),K20,0)</x:f>
        <x:v>0</x:v>
      </x:c>
      <x:c r="Q20" s="109" t="n">
        <x:f>IF(E20="Sí",K20*N20,0)</x:f>
        <x:v>0</x:v>
      </x:c>
      <x:c r="R20" s="104" t="str">
        <x:v>Tras desconexión el cliente recupera estado válido sin perder consistencia permanente.</x:v>
      </x:c>
      <x:c r="S20" s="104" t="str">
        <x:v>Caso corte/reconexión</x:v>
      </x:c>
      <x:c r="T20" s="104" t="str">
        <x:v>PSP.RT.05</x:v>
      </x:c>
      <x:c r="U20" s="107" t="str"/>
    </x:row>
    <x:row r="21">
      <x:c r="A21" s="104" t="str">
        <x:v>PSP.PRES.01</x:v>
      </x:c>
      <x:c r="B21" s="104" t="str">
        <x:v>Presencia</x:v>
      </x:c>
      <x:c r="C21" s="104" t="str">
        <x:v>Definir semántica de usuario en línea y caducidad</x:v>
      </x:c>
      <x:c r="D21" s="104" t="str">
        <x:v>OPT</x:v>
      </x:c>
      <x:c r="E21" s="107" t="str">
        <x:v>No</x:v>
      </x:c>
      <x:c r="F21" s="104" t="str">
        <x:v>H4</x:v>
      </x:c>
      <x:c r="G21" s="107"/>
      <x:c r="H21" s="104" t="n">
        <x:v>2</x:v>
      </x:c>
      <x:c r="I21" s="107" t="n">
        <x:v>2</x:v>
      </x:c>
      <x:c r="J21" s="107"/>
      <x:c r="K21" s="104" t="n">
        <x:v>1</x:v>
      </x:c>
      <x:c r="L21" s="107"/>
      <x:c r="M21" s="107"/>
      <x:c r="N21" s="108" t="n">
        <x:v>0</x:v>
      </x:c>
      <x:c r="O21" s="107" t="str">
        <x:v>NO CONTRATADA</x:v>
      </x:c>
      <x:c r="P21" s="109" t="n">
        <x:f>IF(AND(E21="Sí",O21="ACEPTADA"),K21,0)</x:f>
        <x:v>0</x:v>
      </x:c>
      <x:c r="Q21" s="109" t="n">
        <x:f>IF(E21="Sí",K21*N21,0)</x:f>
        <x:v>0</x:v>
      </x:c>
      <x:c r="R21" s="104" t="str">
        <x:v>La definición evita interpretar presencia como actividad garantizada y establece timeout.</x:v>
      </x:c>
      <x:c r="S21" s="104" t="str">
        <x:v>ADR/spec</x:v>
      </x:c>
      <x:c r="T21" s="104" t="str">
        <x:v>PSP.RT.02</x:v>
      </x:c>
      <x:c r="U21" s="107" t="str"/>
    </x:row>
    <x:row r="22">
      <x:c r="A22" s="104" t="str">
        <x:v>PSP.PRES.02</x:v>
      </x:c>
      <x:c r="B22" s="104" t="str">
        <x:v>Presencia</x:v>
      </x:c>
      <x:c r="C22" s="104" t="str">
        <x:v>Registrar presencia con heartbeat/timeout</x:v>
      </x:c>
      <x:c r="D22" s="104" t="str">
        <x:v>OPT</x:v>
      </x:c>
      <x:c r="E22" s="107" t="str">
        <x:v>No</x:v>
      </x:c>
      <x:c r="F22" s="104" t="str">
        <x:v>H4</x:v>
      </x:c>
      <x:c r="G22" s="107"/>
      <x:c r="H22" s="104" t="n">
        <x:v>4</x:v>
      </x:c>
      <x:c r="I22" s="107" t="n">
        <x:v>4</x:v>
      </x:c>
      <x:c r="J22" s="107"/>
      <x:c r="K22" s="104" t="n">
        <x:v>2</x:v>
      </x:c>
      <x:c r="L22" s="107"/>
      <x:c r="M22" s="107"/>
      <x:c r="N22" s="108" t="n">
        <x:v>0</x:v>
      </x:c>
      <x:c r="O22" s="107" t="str">
        <x:v>NO CONTRATADA</x:v>
      </x:c>
      <x:c r="P22" s="109" t="n">
        <x:f>IF(AND(E22="Sí",O22="ACEPTADA"),K22,0)</x:f>
        <x:v>0</x:v>
      </x:c>
      <x:c r="Q22" s="109" t="n">
        <x:f>IF(E22="Sí",K22*N22,0)</x:f>
        <x:v>0</x:v>
      </x:c>
      <x:c r="R22" s="104" t="str">
        <x:v>La presencia expira ante cierre abrupto dentro del límite acordado.</x:v>
      </x:c>
      <x:c r="S22" s="104" t="str">
        <x:v>Test timeout</x:v>
      </x:c>
      <x:c r="T22" s="104" t="str">
        <x:v>PSP.PRES.01</x:v>
      </x:c>
      <x:c r="U22" s="107" t="str"/>
    </x:row>
    <x:row r="23">
      <x:c r="A23" s="104" t="str">
        <x:v>PSP.PRES.03</x:v>
      </x:c>
      <x:c r="B23" s="104" t="str">
        <x:v>Presencia</x:v>
      </x:c>
      <x:c r="C23" s="104" t="str">
        <x:v>Mostrar presencia solo en contexto autorizado</x:v>
      </x:c>
      <x:c r="D23" s="104" t="str">
        <x:v>OPT</x:v>
      </x:c>
      <x:c r="E23" s="107" t="str">
        <x:v>No</x:v>
      </x:c>
      <x:c r="F23" s="104" t="str">
        <x:v>H4</x:v>
      </x:c>
      <x:c r="G23" s="107"/>
      <x:c r="H23" s="104" t="n">
        <x:v>3</x:v>
      </x:c>
      <x:c r="I23" s="107" t="n">
        <x:v>3</x:v>
      </x:c>
      <x:c r="J23" s="107"/>
      <x:c r="K23" s="104" t="n">
        <x:v>2</x:v>
      </x:c>
      <x:c r="L23" s="107"/>
      <x:c r="M23" s="107"/>
      <x:c r="N23" s="108" t="n">
        <x:v>0</x:v>
      </x:c>
      <x:c r="O23" s="107" t="str">
        <x:v>NO CONTRATADA</x:v>
      </x:c>
      <x:c r="P23" s="109" t="n">
        <x:f>IF(AND(E23="Sí",O23="ACEPTADA"),K23,0)</x:f>
        <x:v>0</x:v>
      </x:c>
      <x:c r="Q23" s="109" t="n">
        <x:f>IF(E23="Sí",K23*N23,0)</x:f>
        <x:v>0</x:v>
      </x:c>
      <x:c r="R23" s="104" t="str">
        <x:v>No se expone estado de usuarios ajenos al espacio/equipo.</x:v>
      </x:c>
      <x:c r="S23" s="104" t="str">
        <x:v>Test permisos + demo</x:v>
      </x:c>
      <x:c r="T23" s="104" t="str">
        <x:v>AD.SPACE.*</x:v>
      </x:c>
      <x:c r="U23" s="107" t="str"/>
    </x:row>
    <x:row r="24">
      <x:c r="A24" s="104" t="str">
        <x:v>PSP.PRES.04</x:v>
      </x:c>
      <x:c r="B24" s="104" t="str">
        <x:v>Presencia</x:v>
      </x:c>
      <x:c r="C24" s="104" t="str">
        <x:v>Representar presencia en un cliente</x:v>
      </x:c>
      <x:c r="D24" s="104" t="str">
        <x:v>OPT</x:v>
      </x:c>
      <x:c r="E24" s="107" t="str">
        <x:v>No</x:v>
      </x:c>
      <x:c r="F24" s="104" t="str">
        <x:v>H4</x:v>
      </x:c>
      <x:c r="G24" s="107"/>
      <x:c r="H24" s="104" t="n">
        <x:v>3</x:v>
      </x:c>
      <x:c r="I24" s="107" t="n">
        <x:v>3</x:v>
      </x:c>
      <x:c r="J24" s="107"/>
      <x:c r="K24" s="104" t="n">
        <x:v>1</x:v>
      </x:c>
      <x:c r="L24" s="107"/>
      <x:c r="M24" s="107"/>
      <x:c r="N24" s="108" t="n">
        <x:v>0</x:v>
      </x:c>
      <x:c r="O24" s="107" t="str">
        <x:v>NO CONTRATADA</x:v>
      </x:c>
      <x:c r="P24" s="109" t="n">
        <x:f>IF(AND(E24="Sí",O24="ACEPTADA"),K24,0)</x:f>
        <x:v>0</x:v>
      </x:c>
      <x:c r="Q24" s="109" t="n">
        <x:f>IF(E24="Sí",K24*N24,0)</x:f>
        <x:v>0</x:v>
      </x:c>
      <x:c r="R24" s="104" t="str">
        <x:v>La UI diferencia en línea/desconocido/sin conexión según contrato.</x:v>
      </x:c>
      <x:c r="S24" s="104" t="str">
        <x:v>Demo</x:v>
      </x:c>
      <x:c r="T24" s="104" t="str">
        <x:v>PSP.PRES.02</x:v>
      </x:c>
      <x:c r="U24" s="107" t="str"/>
    </x:row>
    <x:row r="25">
      <x:c r="A25" s="104" t="str">
        <x:v>PSP.JOB.01</x:v>
      </x:c>
      <x:c r="B25" s="104" t="str">
        <x:v>Jobs y recordatorios</x:v>
      </x:c>
      <x:c r="C25" s="104" t="str">
        <x:v>Definir job de recordatorio de vencimiento</x:v>
      </x:c>
      <x:c r="D25" s="104" t="str">
        <x:v>OPT</x:v>
      </x:c>
      <x:c r="E25" s="107" t="str">
        <x:v>No</x:v>
      </x:c>
      <x:c r="F25" s="104" t="str">
        <x:v>H4</x:v>
      </x:c>
      <x:c r="G25" s="107"/>
      <x:c r="H25" s="104" t="n">
        <x:v>3</x:v>
      </x:c>
      <x:c r="I25" s="107" t="n">
        <x:v>3</x:v>
      </x:c>
      <x:c r="J25" s="107"/>
      <x:c r="K25" s="104" t="n">
        <x:v>2</x:v>
      </x:c>
      <x:c r="L25" s="107"/>
      <x:c r="M25" s="107"/>
      <x:c r="N25" s="108" t="n">
        <x:v>0</x:v>
      </x:c>
      <x:c r="O25" s="107" t="str">
        <x:v>NO CONTRATADA</x:v>
      </x:c>
      <x:c r="P25" s="109" t="n">
        <x:f>IF(AND(E25="Sí",O25="ACEPTADA"),K25,0)</x:f>
        <x:v>0</x:v>
      </x:c>
      <x:c r="Q25" s="109" t="n">
        <x:f>IF(E25="Sí",K25*N25,0)</x:f>
        <x:v>0</x:v>
      </x:c>
      <x:c r="R25" s="104" t="str">
        <x:v>La regla temporal y destinatarios están documentados y son comprobables.</x:v>
      </x:c>
      <x:c r="S25" s="104" t="str">
        <x:v>Spec + test</x:v>
      </x:c>
      <x:c r="T25" s="104" t="str">
        <x:v>AD fechas</x:v>
      </x:c>
      <x:c r="U25" s="107" t="str"/>
    </x:row>
    <x:row r="26">
      <x:c r="A26" s="104" t="str">
        <x:v>PSP.JOB.02</x:v>
      </x:c>
      <x:c r="B26" s="104" t="str">
        <x:v>Jobs y recordatorios</x:v>
      </x:c>
      <x:c r="C26" s="104" t="str">
        <x:v>Ejecutar job programado de forma idempotente</x:v>
      </x:c>
      <x:c r="D26" s="104" t="str">
        <x:v>OPT</x:v>
      </x:c>
      <x:c r="E26" s="107" t="str">
        <x:v>No</x:v>
      </x:c>
      <x:c r="F26" s="104" t="str">
        <x:v>H4</x:v>
      </x:c>
      <x:c r="G26" s="107"/>
      <x:c r="H26" s="104" t="n">
        <x:v>5</x:v>
      </x:c>
      <x:c r="I26" s="107" t="n">
        <x:v>5</x:v>
      </x:c>
      <x:c r="J26" s="107"/>
      <x:c r="K26" s="104" t="n">
        <x:v>3</x:v>
      </x:c>
      <x:c r="L26" s="107"/>
      <x:c r="M26" s="107"/>
      <x:c r="N26" s="108" t="n">
        <x:v>0</x:v>
      </x:c>
      <x:c r="O26" s="107" t="str">
        <x:v>NO CONTRATADA</x:v>
      </x:c>
      <x:c r="P26" s="109" t="n">
        <x:f>IF(AND(E26="Sí",O26="ACEPTADA"),K26,0)</x:f>
        <x:v>0</x:v>
      </x:c>
      <x:c r="Q26" s="109" t="n">
        <x:f>IF(E26="Sí",K26*N26,0)</x:f>
        <x:v>0</x:v>
      </x:c>
      <x:c r="R26" s="104" t="str">
        <x:v>Repetir la ejecución no duplica recordatorios para el mismo hecho.</x:v>
      </x:c>
      <x:c r="S26" s="104" t="str">
        <x:v>Test repetición</x:v>
      </x:c>
      <x:c r="T26" s="104" t="str">
        <x:v>PSP.JOB.01</x:v>
      </x:c>
      <x:c r="U26" s="107" t="str"/>
    </x:row>
    <x:row r="27">
      <x:c r="A27" s="104" t="str">
        <x:v>PSP.JOB.03</x:v>
      </x:c>
      <x:c r="B27" s="104" t="str">
        <x:v>Jobs y recordatorios</x:v>
      </x:c>
      <x:c r="C27" s="104" t="str">
        <x:v>Controlar zona horaria/reloj en pruebas</x:v>
      </x:c>
      <x:c r="D27" s="104" t="str">
        <x:v>OPT</x:v>
      </x:c>
      <x:c r="E27" s="107" t="str">
        <x:v>No</x:v>
      </x:c>
      <x:c r="F27" s="104" t="str">
        <x:v>H4</x:v>
      </x:c>
      <x:c r="G27" s="107"/>
      <x:c r="H27" s="104" t="n">
        <x:v>3</x:v>
      </x:c>
      <x:c r="I27" s="107" t="n">
        <x:v>3</x:v>
      </x:c>
      <x:c r="J27" s="107"/>
      <x:c r="K27" s="104" t="n">
        <x:v>2</x:v>
      </x:c>
      <x:c r="L27" s="107"/>
      <x:c r="M27" s="107"/>
      <x:c r="N27" s="108" t="n">
        <x:v>0</x:v>
      </x:c>
      <x:c r="O27" s="107" t="str">
        <x:v>NO CONTRATADA</x:v>
      </x:c>
      <x:c r="P27" s="109" t="n">
        <x:f>IF(AND(E27="Sí",O27="ACEPTADA"),K27,0)</x:f>
        <x:v>0</x:v>
      </x:c>
      <x:c r="Q27" s="109" t="n">
        <x:f>IF(E27="Sí",K27*N27,0)</x:f>
        <x:v>0</x:v>
      </x:c>
      <x:c r="R27" s="104" t="str">
        <x:v>Los casos de frontera pueden probarse sin esperar tiempo real.</x:v>
      </x:c>
      <x:c r="S27" s="104" t="str">
        <x:v>Test con clock controlado</x:v>
      </x:c>
      <x:c r="T27" s="104" t="str">
        <x:v>PSP.JOB.01</x:v>
      </x:c>
      <x:c r="U27" s="107" t="str"/>
    </x:row>
    <x:row r="28">
      <x:c r="A28" s="104" t="str">
        <x:v>PSP.JOB.04</x:v>
      </x:c>
      <x:c r="B28" s="104" t="str">
        <x:v>Jobs y recordatorios</x:v>
      </x:c>
      <x:c r="C28" s="104" t="str">
        <x:v>Registrar fallos y política de reintento</x:v>
      </x:c>
      <x:c r="D28" s="104" t="str">
        <x:v>ADV</x:v>
      </x:c>
      <x:c r="E28" s="107" t="str">
        <x:v>No</x:v>
      </x:c>
      <x:c r="F28" s="104" t="str">
        <x:v>H4</x:v>
      </x:c>
      <x:c r="G28" s="107"/>
      <x:c r="H28" s="104" t="n">
        <x:v>4</x:v>
      </x:c>
      <x:c r="I28" s="107" t="n">
        <x:v>4</x:v>
      </x:c>
      <x:c r="J28" s="107"/>
      <x:c r="K28" s="104" t="n">
        <x:v>2</x:v>
      </x:c>
      <x:c r="L28" s="107"/>
      <x:c r="M28" s="107"/>
      <x:c r="N28" s="108" t="n">
        <x:v>0</x:v>
      </x:c>
      <x:c r="O28" s="107" t="str">
        <x:v>NO CONTRATADA</x:v>
      </x:c>
      <x:c r="P28" s="109" t="n">
        <x:f>IF(AND(E28="Sí",O28="ACEPTADA"),K28,0)</x:f>
        <x:v>0</x:v>
      </x:c>
      <x:c r="Q28" s="109" t="n">
        <x:f>IF(E28="Sí",K28*N28,0)</x:f>
        <x:v>0</x:v>
      </x:c>
      <x:c r="R28" s="104" t="str">
        <x:v>Un fallo queda trazado y puede recuperarse según límites explícitos.</x:v>
      </x:c>
      <x:c r="S28" s="104" t="str">
        <x:v>Caso de fallo + logs</x:v>
      </x:c>
      <x:c r="T28" s="104" t="str">
        <x:v>PSP.JOB.02</x:v>
      </x:c>
      <x:c r="U28" s="107" t="str"/>
    </x:row>
    <x:row r="29">
      <x:c r="A29" s="104" t="str">
        <x:v>PSP.JOB.05</x:v>
      </x:c>
      <x:c r="B29" s="104" t="str">
        <x:v>Jobs y recordatorios</x:v>
      </x:c>
      <x:c r="C29" s="104" t="str">
        <x:v>Centro persistente de recordatorios/notificaciones</x:v>
      </x:c>
      <x:c r="D29" s="104" t="str">
        <x:v>ADV</x:v>
      </x:c>
      <x:c r="E29" s="107" t="str">
        <x:v>No</x:v>
      </x:c>
      <x:c r="F29" s="104" t="str">
        <x:v>H4</x:v>
      </x:c>
      <x:c r="G29" s="107"/>
      <x:c r="H29" s="104" t="n">
        <x:v>5</x:v>
      </x:c>
      <x:c r="I29" s="107" t="n">
        <x:v>5</x:v>
      </x:c>
      <x:c r="J29" s="107"/>
      <x:c r="K29" s="104" t="n">
        <x:v>3</x:v>
      </x:c>
      <x:c r="L29" s="107"/>
      <x:c r="M29" s="107"/>
      <x:c r="N29" s="108" t="n">
        <x:v>0</x:v>
      </x:c>
      <x:c r="O29" s="107" t="str">
        <x:v>NO CONTRATADA</x:v>
      </x:c>
      <x:c r="P29" s="109" t="n">
        <x:f>IF(AND(E29="Sí",O29="ACEPTADA"),K29,0)</x:f>
        <x:v>0</x:v>
      </x:c>
      <x:c r="Q29" s="109" t="n">
        <x:f>IF(E29="Sí",K29*N29,0)</x:f>
        <x:v>0</x:v>
      </x:c>
      <x:c r="R29" s="104" t="str">
        <x:v>El usuario puede listar y marcar como leídas las notificaciones generadas.</x:v>
      </x:c>
      <x:c r="S29" s="104" t="str">
        <x:v>API + demo</x:v>
      </x:c>
      <x:c r="T29" s="104" t="str">
        <x:v>PSP.JOB.02</x:v>
      </x:c>
      <x:c r="U29" s="107" t="str"/>
    </x:row>
    <x:row r="30">
      <x:c r="A30" s="104" t="str">
        <x:v>PSP.EVT.01</x:v>
      </x:c>
      <x:c r="B30" s="104" t="str">
        <x:v>Entrega fiable de eventos</x:v>
      </x:c>
      <x:c r="C30" s="104" t="str">
        <x:v>Definir evento de dominio y consumidor desacoplado</x:v>
      </x:c>
      <x:c r="D30" s="104" t="str">
        <x:v>ADV</x:v>
      </x:c>
      <x:c r="E30" s="107" t="str">
        <x:v>No</x:v>
      </x:c>
      <x:c r="F30" s="104" t="str">
        <x:v>H4</x:v>
      </x:c>
      <x:c r="G30" s="107"/>
      <x:c r="H30" s="104" t="n">
        <x:v>4</x:v>
      </x:c>
      <x:c r="I30" s="107" t="n">
        <x:v>4</x:v>
      </x:c>
      <x:c r="J30" s="107"/>
      <x:c r="K30" s="104" t="n">
        <x:v>2</x:v>
      </x:c>
      <x:c r="L30" s="107"/>
      <x:c r="M30" s="107"/>
      <x:c r="N30" s="108" t="n">
        <x:v>0</x:v>
      </x:c>
      <x:c r="O30" s="107" t="str">
        <x:v>NO CONTRATADA</x:v>
      </x:c>
      <x:c r="P30" s="109" t="n">
        <x:f>IF(AND(E30="Sí",O30="ACEPTADA"),K30,0)</x:f>
        <x:v>0</x:v>
      </x:c>
      <x:c r="Q30" s="109" t="n">
        <x:f>IF(E30="Sí",K30*N30,0)</x:f>
        <x:v>0</x:v>
      </x:c>
      <x:c r="R30" s="104" t="str">
        <x:v>Productor y consumidor no comparten detalles innecesarios y el contrato está versionado.</x:v>
      </x:c>
      <x:c r="S30" s="104" t="str">
        <x:v>Diagrama + spec</x:v>
      </x:c>
      <x:c r="T30" s="104" t="str">
        <x:v>PSP.RT.01</x:v>
      </x:c>
      <x:c r="U30" s="107" t="str"/>
    </x:row>
    <x:row r="31">
      <x:c r="A31" s="104" t="str">
        <x:v>PSP.EVT.02</x:v>
      </x:c>
      <x:c r="B31" s="104" t="str">
        <x:v>Entrega fiable de eventos</x:v>
      </x:c>
      <x:c r="C31" s="104" t="str">
        <x:v>Persistir/encolar evento pendiente de entrega</x:v>
      </x:c>
      <x:c r="D31" s="104" t="str">
        <x:v>ADV</x:v>
      </x:c>
      <x:c r="E31" s="107" t="str">
        <x:v>No</x:v>
      </x:c>
      <x:c r="F31" s="104" t="str">
        <x:v>H4</x:v>
      </x:c>
      <x:c r="G31" s="107"/>
      <x:c r="H31" s="104" t="n">
        <x:v>5</x:v>
      </x:c>
      <x:c r="I31" s="107" t="n">
        <x:v>5</x:v>
      </x:c>
      <x:c r="J31" s="107"/>
      <x:c r="K31" s="104" t="n">
        <x:v>3</x:v>
      </x:c>
      <x:c r="L31" s="107"/>
      <x:c r="M31" s="107"/>
      <x:c r="N31" s="108" t="n">
        <x:v>0</x:v>
      </x:c>
      <x:c r="O31" s="107" t="str">
        <x:v>NO CONTRATADA</x:v>
      </x:c>
      <x:c r="P31" s="109" t="n">
        <x:f>IF(AND(E31="Sí",O31="ACEPTADA"),K31,0)</x:f>
        <x:v>0</x:v>
      </x:c>
      <x:c r="Q31" s="109" t="n">
        <x:f>IF(E31="Sí",K31*N31,0)</x:f>
        <x:v>0</x:v>
      </x:c>
      <x:c r="R31" s="104" t="str">
        <x:v>Un fallo temporal no pierde silenciosamente un evento aceptado.</x:v>
      </x:c>
      <x:c r="S31" s="104" t="str">
        <x:v>Test fallo</x:v>
      </x:c>
      <x:c r="T31" s="104" t="str">
        <x:v>PSP.EVT.01</x:v>
      </x:c>
      <x:c r="U31" s="107" t="str"/>
    </x:row>
    <x:row r="32">
      <x:c r="A32" s="104" t="str">
        <x:v>PSP.EVT.03</x:v>
      </x:c>
      <x:c r="B32" s="104" t="str">
        <x:v>Entrega fiable de eventos</x:v>
      </x:c>
      <x:c r="C32" s="104" t="str">
        <x:v>Implementar reintentos con límites</x:v>
      </x:c>
      <x:c r="D32" s="104" t="str">
        <x:v>ADV</x:v>
      </x:c>
      <x:c r="E32" s="107" t="str">
        <x:v>No</x:v>
      </x:c>
      <x:c r="F32" s="104" t="str">
        <x:v>H4</x:v>
      </x:c>
      <x:c r="G32" s="107"/>
      <x:c r="H32" s="104" t="n">
        <x:v>4</x:v>
      </x:c>
      <x:c r="I32" s="107" t="n">
        <x:v>4</x:v>
      </x:c>
      <x:c r="J32" s="107"/>
      <x:c r="K32" s="104" t="n">
        <x:v>2</x:v>
      </x:c>
      <x:c r="L32" s="107"/>
      <x:c r="M32" s="107"/>
      <x:c r="N32" s="108" t="n">
        <x:v>0</x:v>
      </x:c>
      <x:c r="O32" s="107" t="str">
        <x:v>NO CONTRATADA</x:v>
      </x:c>
      <x:c r="P32" s="109" t="n">
        <x:f>IF(AND(E32="Sí",O32="ACEPTADA"),K32,0)</x:f>
        <x:v>0</x:v>
      </x:c>
      <x:c r="Q32" s="109" t="n">
        <x:f>IF(E32="Sí",K32*N32,0)</x:f>
        <x:v>0</x:v>
      </x:c>
      <x:c r="R32" s="104" t="str">
        <x:v>Los reintentos tienen límite/backoff o estrategia equivalente documentada.</x:v>
      </x:c>
      <x:c r="S32" s="104" t="str">
        <x:v>Test controlado</x:v>
      </x:c>
      <x:c r="T32" s="104" t="str">
        <x:v>PSP.EVT.02</x:v>
      </x:c>
      <x:c r="U32" s="107" t="str"/>
    </x:row>
    <x:row r="33">
      <x:c r="A33" s="104" t="str">
        <x:v>PSP.EVT.04</x:v>
      </x:c>
      <x:c r="B33" s="104" t="str">
        <x:v>Entrega fiable de eventos</x:v>
      </x:c>
      <x:c r="C33" s="104" t="str">
        <x:v>Evitar doble procesamiento mediante idempotencia</x:v>
      </x:c>
      <x:c r="D33" s="104" t="str">
        <x:v>ADV</x:v>
      </x:c>
      <x:c r="E33" s="107" t="str">
        <x:v>No</x:v>
      </x:c>
      <x:c r="F33" s="104" t="str">
        <x:v>H4</x:v>
      </x:c>
      <x:c r="G33" s="107"/>
      <x:c r="H33" s="104" t="n">
        <x:v>5</x:v>
      </x:c>
      <x:c r="I33" s="107" t="n">
        <x:v>5</x:v>
      </x:c>
      <x:c r="J33" s="107"/>
      <x:c r="K33" s="104" t="n">
        <x:v>3</x:v>
      </x:c>
      <x:c r="L33" s="107"/>
      <x:c r="M33" s="107"/>
      <x:c r="N33" s="108" t="n">
        <x:v>0</x:v>
      </x:c>
      <x:c r="O33" s="107" t="str">
        <x:v>NO CONTRATADA</x:v>
      </x:c>
      <x:c r="P33" s="109" t="n">
        <x:f>IF(AND(E33="Sí",O33="ACEPTADA"),K33,0)</x:f>
        <x:v>0</x:v>
      </x:c>
      <x:c r="Q33" s="109" t="n">
        <x:f>IF(E33="Sí",K33*N33,0)</x:f>
        <x:v>0</x:v>
      </x:c>
      <x:c r="R33" s="104" t="str">
        <x:v>Reentregar el mismo evento no duplica efectos no deseados.</x:v>
      </x:c>
      <x:c r="S33" s="104" t="str">
        <x:v>Test duplicado</x:v>
      </x:c>
      <x:c r="T33" s="104" t="str">
        <x:v>PSP.EVT.02</x:v>
      </x:c>
      <x:c r="U33" s="107" t="str"/>
    </x:row>
    <x:row r="34">
      <x:c r="A34" s="104" t="str">
        <x:v>PSP.EVT.05</x:v>
      </x:c>
      <x:c r="B34" s="104" t="str">
        <x:v>Entrega fiable de eventos</x:v>
      </x:c>
      <x:c r="C34" s="104" t="str">
        <x:v>Registrar dead-letter/error final o mecanismo equivalente</x:v>
      </x:c>
      <x:c r="D34" s="104" t="str">
        <x:v>ADV</x:v>
      </x:c>
      <x:c r="E34" s="107" t="str">
        <x:v>No</x:v>
      </x:c>
      <x:c r="F34" s="104" t="str">
        <x:v>H5</x:v>
      </x:c>
      <x:c r="G34" s="107"/>
      <x:c r="H34" s="104" t="n">
        <x:v>4</x:v>
      </x:c>
      <x:c r="I34" s="107" t="n">
        <x:v>4</x:v>
      </x:c>
      <x:c r="J34" s="107"/>
      <x:c r="K34" s="104" t="n">
        <x:v>2</x:v>
      </x:c>
      <x:c r="L34" s="107"/>
      <x:c r="M34" s="107"/>
      <x:c r="N34" s="108" t="n">
        <x:v>0</x:v>
      </x:c>
      <x:c r="O34" s="107" t="str">
        <x:v>NO CONTRATADA</x:v>
      </x:c>
      <x:c r="P34" s="109" t="n">
        <x:f>IF(AND(E34="Sí",O34="ACEPTADA"),K34,0)</x:f>
        <x:v>0</x:v>
      </x:c>
      <x:c r="Q34" s="109" t="n">
        <x:f>IF(E34="Sí",K34*N34,0)</x:f>
        <x:v>0</x:v>
      </x:c>
      <x:c r="R34" s="104" t="str">
        <x:v>Eventos no recuperables quedan localizables para diagnóstico y actuación.</x:v>
      </x:c>
      <x:c r="S34" s="104" t="str">
        <x:v>Demo + logs</x:v>
      </x:c>
      <x:c r="T34" s="104" t="str">
        <x:v>PSP.EVT.03</x:v>
      </x:c>
      <x:c r="U34" s="107" t="str"/>
    </x:row>
    <x:row r="35">
      <x:c r="A35" s="104" t="str">
        <x:v>PSP.EVT.06</x:v>
      </x:c>
      <x:c r="B35" s="104" t="str">
        <x:v>Entrega fiable de eventos</x:v>
      </x:c>
      <x:c r="C35" s="104" t="str">
        <x:v>Crear prueba end-to-end de fallo y recuperación</x:v>
      </x:c>
      <x:c r="D35" s="104" t="str">
        <x:v>ADV</x:v>
      </x:c>
      <x:c r="E35" s="107" t="str">
        <x:v>No</x:v>
      </x:c>
      <x:c r="F35" s="104" t="str">
        <x:v>H5</x:v>
      </x:c>
      <x:c r="G35" s="107"/>
      <x:c r="H35" s="104" t="n">
        <x:v>5</x:v>
      </x:c>
      <x:c r="I35" s="107" t="n">
        <x:v>5</x:v>
      </x:c>
      <x:c r="J35" s="107"/>
      <x:c r="K35" s="104" t="n">
        <x:v>3</x:v>
      </x:c>
      <x:c r="L35" s="107"/>
      <x:c r="M35" s="107"/>
      <x:c r="N35" s="108" t="n">
        <x:v>0</x:v>
      </x:c>
      <x:c r="O35" s="107" t="str">
        <x:v>NO CONTRATADA</x:v>
      </x:c>
      <x:c r="P35" s="109" t="n">
        <x:f>IF(AND(E35="Sí",O35="ACEPTADA"),K35,0)</x:f>
        <x:v>0</x:v>
      </x:c>
      <x:c r="Q35" s="109" t="n">
        <x:f>IF(E35="Sí",K35*N35,0)</x:f>
        <x:v>0</x:v>
      </x:c>
      <x:c r="R35" s="104" t="str">
        <x:v>Se reproduce un fallo temporal y se demuestra recuperación sin pérdida/duplicación.</x:v>
      </x:c>
      <x:c r="S35" s="104" t="str">
        <x:v>Test E2E</x:v>
      </x:c>
      <x:c r="T35" s="104" t="str">
        <x:v>PSP.EVT.02-05</x:v>
      </x:c>
      <x:c r="U35" s="107" t="str"/>
    </x:row>
    <x:row r="36">
      <x:c r="A36" s="104" t="str">
        <x:v>PSP.NOT.01</x:v>
      </x:c>
      <x:c r="B36" s="104" t="str">
        <x:v>Notificaciones</x:v>
      </x:c>
      <x:c r="C36" s="104" t="str">
        <x:v>Generar notificación por mención/asignación</x:v>
      </x:c>
      <x:c r="D36" s="104" t="str">
        <x:v>OPT</x:v>
      </x:c>
      <x:c r="E36" s="107" t="str">
        <x:v>No</x:v>
      </x:c>
      <x:c r="F36" s="104" t="str">
        <x:v>H4</x:v>
      </x:c>
      <x:c r="G36" s="107"/>
      <x:c r="H36" s="104" t="n">
        <x:v>4</x:v>
      </x:c>
      <x:c r="I36" s="107" t="n">
        <x:v>4</x:v>
      </x:c>
      <x:c r="J36" s="107"/>
      <x:c r="K36" s="104" t="n">
        <x:v>2</x:v>
      </x:c>
      <x:c r="L36" s="107"/>
      <x:c r="M36" s="107"/>
      <x:c r="N36" s="108" t="n">
        <x:v>0</x:v>
      </x:c>
      <x:c r="O36" s="107" t="str">
        <x:v>NO CONTRATADA</x:v>
      </x:c>
      <x:c r="P36" s="109" t="n">
        <x:f>IF(AND(E36="Sí",O36="ACEPTADA"),K36,0)</x:f>
        <x:v>0</x:v>
      </x:c>
      <x:c r="Q36" s="109" t="n">
        <x:f>IF(E36="Sí",K36*N36,0)</x:f>
        <x:v>0</x:v>
      </x:c>
      <x:c r="R36" s="104" t="str">
        <x:v>La acción acordada notifica únicamente al destinatario correcto.</x:v>
      </x:c>
      <x:c r="S36" s="104" t="str">
        <x:v>Test + demo</x:v>
      </x:c>
      <x:c r="T36" s="104" t="str">
        <x:v>AD comentarios/asignación</x:v>
      </x:c>
      <x:c r="U36" s="107" t="str"/>
    </x:row>
    <x:row r="37">
      <x:c r="A37" s="104" t="str">
        <x:v>PSP.NOT.02</x:v>
      </x:c>
      <x:c r="B37" s="104" t="str">
        <x:v>Notificaciones</x:v>
      </x:c>
      <x:c r="C37" s="104" t="str">
        <x:v>Exponer API de notificaciones no leídas</x:v>
      </x:c>
      <x:c r="D37" s="104" t="str">
        <x:v>OPT</x:v>
      </x:c>
      <x:c r="E37" s="107" t="str">
        <x:v>No</x:v>
      </x:c>
      <x:c r="F37" s="104" t="str">
        <x:v>H4</x:v>
      </x:c>
      <x:c r="G37" s="107"/>
      <x:c r="H37" s="104" t="n">
        <x:v>3</x:v>
      </x:c>
      <x:c r="I37" s="107" t="n">
        <x:v>3</x:v>
      </x:c>
      <x:c r="J37" s="107"/>
      <x:c r="K37" s="104" t="n">
        <x:v>2</x:v>
      </x:c>
      <x:c r="L37" s="107"/>
      <x:c r="M37" s="107"/>
      <x:c r="N37" s="108" t="n">
        <x:v>0</x:v>
      </x:c>
      <x:c r="O37" s="107" t="str">
        <x:v>NO CONTRATADA</x:v>
      </x:c>
      <x:c r="P37" s="109" t="n">
        <x:f>IF(AND(E37="Sí",O37="ACEPTADA"),K37,0)</x:f>
        <x:v>0</x:v>
      </x:c>
      <x:c r="Q37" s="109" t="n">
        <x:f>IF(E37="Sí",K37*N37,0)</x:f>
        <x:v>0</x:v>
      </x:c>
      <x:c r="R37" s="104" t="str">
        <x:v>La consulta respeta identidad y estado leído/no leído.</x:v>
      </x:c>
      <x:c r="S37" s="104" t="str">
        <x:v>API + tests</x:v>
      </x:c>
      <x:c r="T37" s="104" t="str">
        <x:v>PSP.NOT.01</x:v>
      </x:c>
      <x:c r="U37" s="107" t="str"/>
    </x:row>
    <x:row r="38">
      <x:c r="A38" s="104" t="str">
        <x:v>PSP.NOT.03</x:v>
      </x:c>
      <x:c r="B38" s="104" t="str">
        <x:v>Notificaciones</x:v>
      </x:c>
      <x:c r="C38" s="104" t="str">
        <x:v>Enviar notificación al cliente móvil/escritorio</x:v>
      </x:c>
      <x:c r="D38" s="104" t="str">
        <x:v>ADV</x:v>
      </x:c>
      <x:c r="E38" s="107" t="str">
        <x:v>No</x:v>
      </x:c>
      <x:c r="F38" s="104" t="str">
        <x:v>H5</x:v>
      </x:c>
      <x:c r="G38" s="107"/>
      <x:c r="H38" s="104" t="n">
        <x:v>5</x:v>
      </x:c>
      <x:c r="I38" s="107" t="n">
        <x:v>5</x:v>
      </x:c>
      <x:c r="J38" s="107"/>
      <x:c r="K38" s="104" t="n">
        <x:v>3</x:v>
      </x:c>
      <x:c r="L38" s="107"/>
      <x:c r="M38" s="107"/>
      <x:c r="N38" s="108" t="n">
        <x:v>0</x:v>
      </x:c>
      <x:c r="O38" s="107" t="str">
        <x:v>NO CONTRATADA</x:v>
      </x:c>
      <x:c r="P38" s="109" t="n">
        <x:f>IF(AND(E38="Sí",O38="ACEPTADA"),K38,0)</x:f>
        <x:v>0</x:v>
      </x:c>
      <x:c r="Q38" s="109" t="n">
        <x:f>IF(E38="Sí",K38*N38,0)</x:f>
        <x:v>0</x:v>
      </x:c>
      <x:c r="R38" s="104" t="str">
        <x:v>Una notificación aceptada llega a al menos un cliente por el canal contratado.</x:v>
      </x:c>
      <x:c r="S38" s="104" t="str">
        <x:v>Demo E2E</x:v>
      </x:c>
      <x:c r="T38" s="104" t="str">
        <x:v>PSP.NOT.02; PMDM/DI</x:v>
      </x:c>
      <x:c r="U38" s="107" t="str"/>
    </x:row>
    <x:row r="39">
      <x:c r="A39" s="104" t="str">
        <x:v>PSP.NOT.04</x:v>
      </x:c>
      <x:c r="B39" s="104" t="str">
        <x:v>Notificaciones</x:v>
      </x:c>
      <x:c r="C39" s="104" t="str">
        <x:v>Deep link desde notificación al recurso origen</x:v>
      </x:c>
      <x:c r="D39" s="104" t="str">
        <x:v>ADV</x:v>
      </x:c>
      <x:c r="E39" s="107" t="str">
        <x:v>No</x:v>
      </x:c>
      <x:c r="F39" s="104" t="str">
        <x:v>H5</x:v>
      </x:c>
      <x:c r="G39" s="107"/>
      <x:c r="H39" s="104" t="n">
        <x:v>4</x:v>
      </x:c>
      <x:c r="I39" s="107" t="n">
        <x:v>4</x:v>
      </x:c>
      <x:c r="J39" s="107"/>
      <x:c r="K39" s="104" t="n">
        <x:v>2</x:v>
      </x:c>
      <x:c r="L39" s="107"/>
      <x:c r="M39" s="107"/>
      <x:c r="N39" s="108" t="n">
        <x:v>0</x:v>
      </x:c>
      <x:c r="O39" s="107" t="str">
        <x:v>NO CONTRATADA</x:v>
      </x:c>
      <x:c r="P39" s="109" t="n">
        <x:f>IF(AND(E39="Sí",O39="ACEPTADA"),K39,0)</x:f>
        <x:v>0</x:v>
      </x:c>
      <x:c r="Q39" s="109" t="n">
        <x:f>IF(E39="Sí",K39*N39,0)</x:f>
        <x:v>0</x:v>
      </x:c>
      <x:c r="R39" s="104" t="str">
        <x:v>Abrir la notificación navega al recurso autorizado correcto.</x:v>
      </x:c>
      <x:c r="S39" s="104" t="str">
        <x:v>Demo</x:v>
      </x:c>
      <x:c r="T39" s="104" t="str">
        <x:v>PSP.NOT.03</x:v>
      </x:c>
      <x:c r="U39" s="107" t="str"/>
    </x:row>
    <x:row r="40">
      <x:c r="A40"/>
      <x:c r="B40"/>
      <x:c r="C40"/>
      <x:c r="D40"/>
      <x:c r="E40"/>
      <x:c r="F40"/>
      <x:c r="G40"/>
      <x:c r="H40"/>
      <x:c r="I40"/>
      <x:c r="J40"/>
      <x:c r="K40"/>
      <x:c r="L40"/>
      <x:c r="M40"/>
      <x:c r="N40"/>
      <x:c r="O40"/>
      <x:c r="P40"/>
      <x:c r="Q40"/>
      <x:c r="R40"/>
      <x:c r="S40"/>
      <x:c r="T40"/>
      <x:c r="U40"/>
    </x:row>
    <x:row r="41">
      <x:c r="A41"/>
      <x:c r="B41"/>
      <x:c r="C41"/>
      <x:c r="D41"/>
      <x:c r="E41"/>
      <x:c r="F41"/>
      <x:c r="G41"/>
      <x:c r="H41"/>
      <x:c r="I41"/>
      <x:c r="J41"/>
      <x:c r="K41"/>
      <x:c r="L41"/>
      <x:c r="M41"/>
      <x:c r="N41"/>
      <x:c r="O41"/>
      <x:c r="P41"/>
      <x:c r="Q41"/>
      <x:c r="R41"/>
      <x:c r="S41"/>
      <x:c r="T41"/>
      <x:c r="U41"/>
    </x:row>
    <x:row r="42">
      <x:c r="A42"/>
      <x:c r="B42"/>
      <x:c r="C42"/>
      <x:c r="D42"/>
      <x:c r="E42"/>
      <x:c r="F42"/>
      <x:c r="G42"/>
      <x:c r="H42"/>
      <x:c r="I42"/>
      <x:c r="J42"/>
      <x:c r="K42"/>
      <x:c r="L42"/>
      <x:c r="M42"/>
      <x:c r="N42"/>
      <x:c r="O42"/>
      <x:c r="P42"/>
      <x:c r="Q42"/>
      <x:c r="R42"/>
      <x:c r="S42"/>
      <x:c r="T42"/>
      <x:c r="U42"/>
    </x:row>
    <x:row r="43">
      <x:c r="A43"/>
      <x:c r="B43"/>
      <x:c r="C43"/>
      <x:c r="D43"/>
      <x:c r="E43"/>
      <x:c r="F43"/>
      <x:c r="G43"/>
      <x:c r="H43"/>
      <x:c r="I43"/>
      <x:c r="J43"/>
      <x:c r="K43"/>
      <x:c r="L43"/>
      <x:c r="M43"/>
      <x:c r="N43"/>
      <x:c r="O43"/>
      <x:c r="P43"/>
      <x:c r="Q43"/>
      <x:c r="R43"/>
      <x:c r="S43"/>
      <x:c r="T43"/>
      <x:c r="U43"/>
    </x:row>
    <x:row r="44">
      <x:c r="A44"/>
      <x:c r="B44"/>
      <x:c r="C44"/>
      <x:c r="D44"/>
      <x:c r="E44"/>
      <x:c r="F44"/>
      <x:c r="G44"/>
      <x:c r="H44"/>
      <x:c r="I44"/>
      <x:c r="J44"/>
      <x:c r="K44"/>
      <x:c r="L44"/>
      <x:c r="M44"/>
      <x:c r="N44"/>
      <x:c r="O44"/>
      <x:c r="P44"/>
      <x:c r="Q44"/>
      <x:c r="R44"/>
      <x:c r="S44"/>
      <x:c r="T44"/>
      <x:c r="U44"/>
    </x:row>
    <x:row r="45">
      <x:c r="A45"/>
      <x:c r="B45"/>
      <x:c r="C45"/>
      <x:c r="D45"/>
      <x:c r="E45"/>
      <x:c r="F45"/>
      <x:c r="G45"/>
      <x:c r="H45"/>
      <x:c r="I45"/>
      <x:c r="J45"/>
      <x:c r="K45"/>
      <x:c r="L45"/>
      <x:c r="M45"/>
      <x:c r="N45"/>
      <x:c r="O45"/>
      <x:c r="P45"/>
      <x:c r="Q45"/>
      <x:c r="R45"/>
      <x:c r="S45"/>
      <x:c r="T45"/>
      <x:c r="U45"/>
    </x:row>
    <x:row r="46">
      <x:c r="A46"/>
      <x:c r="B46"/>
      <x:c r="C46"/>
      <x:c r="D46"/>
      <x:c r="E46"/>
      <x:c r="F46"/>
      <x:c r="G46"/>
      <x:c r="H46"/>
      <x:c r="I46"/>
      <x:c r="J46"/>
      <x:c r="K46"/>
      <x:c r="L46"/>
      <x:c r="M46"/>
      <x:c r="N46"/>
      <x:c r="O46"/>
      <x:c r="P46"/>
      <x:c r="Q46"/>
      <x:c r="R46"/>
      <x:c r="S46"/>
      <x:c r="T46"/>
      <x:c r="U46"/>
    </x:row>
    <x:row r="47">
      <x:c r="A47"/>
      <x:c r="B47"/>
      <x:c r="C47"/>
      <x:c r="D47"/>
      <x:c r="E47"/>
      <x:c r="F47"/>
      <x:c r="G47"/>
      <x:c r="H47"/>
      <x:c r="I47"/>
      <x:c r="J47"/>
      <x:c r="K47"/>
      <x:c r="L47"/>
      <x:c r="M47"/>
      <x:c r="N47"/>
      <x:c r="O47"/>
      <x:c r="P47"/>
      <x:c r="Q47"/>
      <x:c r="R47"/>
      <x:c r="S47"/>
      <x:c r="T47"/>
      <x:c r="U47"/>
    </x:row>
    <x:row r="48">
      <x:c r="A48"/>
      <x:c r="B48"/>
      <x:c r="C48"/>
      <x:c r="D48"/>
      <x:c r="E48"/>
      <x:c r="F48"/>
      <x:c r="G48"/>
      <x:c r="H48"/>
      <x:c r="I48"/>
      <x:c r="J48"/>
      <x:c r="K48"/>
      <x:c r="L48"/>
      <x:c r="M48"/>
      <x:c r="N48"/>
      <x:c r="O48"/>
      <x:c r="P48"/>
      <x:c r="Q48"/>
      <x:c r="R48"/>
      <x:c r="S48"/>
      <x:c r="T48"/>
      <x:c r="U48"/>
    </x:row>
    <x:row r="49">
      <x:c r="A49"/>
      <x:c r="B49"/>
      <x:c r="C49"/>
      <x:c r="D49"/>
      <x:c r="E49"/>
      <x:c r="F49"/>
      <x:c r="G49"/>
      <x:c r="H49"/>
      <x:c r="I49"/>
      <x:c r="J49"/>
      <x:c r="K49"/>
      <x:c r="L49"/>
      <x:c r="M49"/>
      <x:c r="N49"/>
      <x:c r="O49"/>
      <x:c r="P49"/>
      <x:c r="Q49"/>
      <x:c r="R49"/>
      <x:c r="S49"/>
      <x:c r="T49"/>
      <x:c r="U49"/>
    </x:row>
  </x:sheetData>
  <x:mergeCells>
    <x:mergeCell ref="A1:U1"/>
    <x:mergeCell ref="A2:U2"/>
  </x:mergeCells>
  <x:conditionalFormatting sqref="D15:D39">
    <x:cfRule type="expression" dxfId="27" priority="1">
      <x:formula>D15="OBL"</x:formula>
    </x:cfRule>
    <x:cfRule type="expression" dxfId="28" priority="2">
      <x:formula>D15="ADV"</x:formula>
    </x:cfRule>
    <x:cfRule type="expression" dxfId="29" priority="3">
      <x:formula>D15="OPT"</x:formula>
    </x:cfRule>
  </x:conditionalFormatting>
  <x:conditionalFormatting sqref="N15:N39">
    <x:cfRule type="dataBar" priority="4">
      <x:dataBar>
        <x:cfvo type="min"/>
        <x:cfvo type="max"/>
        <x:color rgb="FFA02B93"/>
      </x:dataBar>
      <x:extLst>
        <x:ext xmlns:x14="http://schemas.microsoft.com/office/spreadsheetml/2009/9/main" uri="{B025F937-C7B1-47D3-B67F-A62EFF666E3E}">
          <x14:id>{62BCF7A0-0A86-054F-603D-F615CFA461CF}</x14:id>
        </x:ext>
      </x:extLst>
    </x:cfRule>
  </x:conditionalFormatting>
  <x:dataValidations count="5">
    <x:dataValidation type="list" sqref="D15:D39">
      <x:formula1>"OBL,OPT,ADV"</x:formula1>
    </x:dataValidation>
    <x:dataValidation type="list" sqref="E15:E39">
      <x:formula1>"Sí,No"</x:formula1>
    </x:dataValidation>
    <x:dataValidation type="list" sqref="O15:O39">
      <x:formula1>"NO CONTRATADA,BACKLOG,PLANIFICADA,EN DESARROLLO,EN REVISIÓN,ACEPTADA,BLOQUEADA,RECUPERACIÓN"</x:formula1>
    </x:dataValidation>
    <x:dataValidation type="list" sqref="G15:G39">
      <x:formula1>"H0,H1,H2,H3,H4,H5"</x:formula1>
    </x:dataValidation>
    <x:dataValidation type="list" sqref="L15:L39">
      <x:formula1>'16 Contrato firma'!$B$7:$B$10</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4" id="{62BCF7A0-0A86-054F-603D-F615CFA461CF}">
            <x14:dataBar gradient="1">
              <x14:cfvo type="min"/>
              <x14:cfvo type="max"/>
              <x14:fillColor rgb="FFA02B93"/>
            </x14:dataBar>
          </x14:cfRule>
          <xm:sqref>N15:N39</xm:sqref>
        </x14:conditionalFormatting>
      </x14:conditionalFormattings>
    </x:ext>
  </x:extLst>
</x:worksheet>
</file>

<file path=xl/worksheets/sheet9.xml><?xml version="1.0" encoding="utf-8"?>
<x:worksheet xmlns:x="http://schemas.openxmlformats.org/spreadsheetml/2006/main">
  <x:sheetFormatPr defaultRowHeight="15"/>
  <x:cols>
    <x:col min="1" max="1" width="16" hidden="0" customWidth="1"/>
    <x:col min="2" max="2" width="24" hidden="0" customWidth="1"/>
    <x:col min="3" max="3" width="48" hidden="0" customWidth="1"/>
    <x:col min="4" max="4" width="9" hidden="0" customWidth="1"/>
    <x:col min="5" max="5" width="11" hidden="0" customWidth="1"/>
    <x:col min="6" max="6" width="14" hidden="0" customWidth="1"/>
    <x:col min="7" max="7" width="14" hidden="0" customWidth="1"/>
    <x:col min="8" max="8" width="12" hidden="0" customWidth="1"/>
    <x:col min="9" max="9" width="12" hidden="0" customWidth="1"/>
    <x:col min="10" max="10" width="12" hidden="0" customWidth="1"/>
    <x:col min="11" max="11" width="7" hidden="0" customWidth="1"/>
    <x:col min="12" max="12" width="16" hidden="0" customWidth="1"/>
    <x:col min="13" max="13" width="10" hidden="0" customWidth="1"/>
    <x:col min="14" max="14" width="10" hidden="0" customWidth="1"/>
    <x:col min="15" max="15" width="16" hidden="0" customWidth="1"/>
    <x:col min="16" max="16" width="11" hidden="0" customWidth="1"/>
    <x:col min="17" max="17" width="11" hidden="0" customWidth="1"/>
    <x:col min="18" max="18" width="52" hidden="0" customWidth="1"/>
    <x:col min="19" max="19" width="30" hidden="0" customWidth="1"/>
    <x:col min="20" max="20" width="28" hidden="0" customWidth="1"/>
    <x:col min="21" max="21" width="28" hidden="0" customWidth="1"/>
  </x:cols>
  <x:sheetData>
    <x:row r="1" ht="28" customHeight="1">
      <x:c r="A1" s="88" t="str">
        <x:v>Sistemas de Gestión Empresarial · Presupuesto de tareas · AulaFlow 2.0 · v1.0 · copia operativa</x:v>
      </x:c>
      <x:c r="B1" s="88"/>
      <x:c r="C1" s="88"/>
      <x:c r="D1" s="88"/>
      <x:c r="E1" s="88"/>
      <x:c r="F1" s="88"/>
      <x:c r="G1" s="88"/>
      <x:c r="H1" s="88"/>
      <x:c r="I1" s="88"/>
      <x:c r="J1" s="88"/>
      <x:c r="K1" s="88"/>
      <x:c r="L1" s="88"/>
      <x:c r="M1" s="88"/>
      <x:c r="N1" s="88"/>
      <x:c r="O1" s="88"/>
      <x:c r="P1" s="88"/>
      <x:c r="Q1" s="88"/>
      <x:c r="R1" s="88"/>
      <x:c r="S1" s="88"/>
      <x:c r="T1" s="88"/>
      <x:c r="U1" s="88"/>
    </x:row>
    <x:row r="2" ht="40" customHeight="1">
      <x:c r="A2" s="91" t="str">
        <x:v>Banco de integración con Odoo: entorno, proyectos/tareas, organizaciones/contactos, reporting y calidad de integración. Todas las tareas son seleccionables. Las horas son horas-persona totales del equipo para cada tarea.</x:v>
      </x:c>
      <x:c r="B2" s="91"/>
      <x:c r="C2" s="91"/>
      <x:c r="D2" s="91"/>
      <x:c r="E2" s="91"/>
      <x:c r="F2" s="91"/>
      <x:c r="G2" s="91"/>
      <x:c r="H2" s="91"/>
      <x:c r="I2" s="91"/>
      <x:c r="J2" s="91"/>
      <x:c r="K2" s="91"/>
      <x:c r="L2" s="91"/>
      <x:c r="M2" s="91"/>
      <x:c r="N2" s="91"/>
      <x:c r="O2" s="91"/>
      <x:c r="P2" s="91"/>
      <x:c r="Q2" s="91"/>
      <x:c r="R2" s="91"/>
      <x:c r="S2" s="91"/>
      <x:c r="T2" s="91"/>
      <x:c r="U2" s="91"/>
    </x:row>
    <x:row r="3">
      <x:c r="A3"/>
      <x:c r="B3"/>
      <x:c r="C3"/>
      <x:c r="D3"/>
      <x:c r="E3"/>
      <x:c r="F3"/>
      <x:c r="G3"/>
      <x:c r="H3"/>
      <x:c r="I3"/>
      <x:c r="J3"/>
      <x:c r="K3"/>
      <x:c r="L3"/>
      <x:c r="M3"/>
      <x:c r="N3"/>
      <x:c r="O3"/>
      <x:c r="P3"/>
      <x:c r="Q3"/>
      <x:c r="R3"/>
      <x:c r="S3"/>
      <x:c r="T3"/>
      <x:c r="U3"/>
    </x:row>
    <x:row r="4">
      <x:c r="A4" s="114" t="str">
        <x:v>RESUMEN</x:v>
      </x:c>
      <x:c r="B4" s="114" t="str">
        <x:v>VALOR</x:v>
      </x:c>
      <x:c r="C4"/>
      <x:c r="D4"/>
      <x:c r="E4"/>
      <x:c r="F4"/>
      <x:c r="G4"/>
      <x:c r="H4"/>
      <x:c r="I4"/>
      <x:c r="J4"/>
      <x:c r="K4"/>
      <x:c r="L4"/>
      <x:c r="M4"/>
      <x:c r="N4"/>
      <x:c r="O4"/>
      <x:c r="P4"/>
      <x:c r="Q4"/>
      <x:c r="R4"/>
      <x:c r="S4"/>
      <x:c r="T4"/>
      <x:c r="U4"/>
    </x:row>
    <x:row r="5">
      <x:c r="A5" s="116" t="str">
        <x:v>AT obligatorios ofertados</x:v>
      </x:c>
      <x:c r="B5" s="117" t="n">
        <x:f>SUMIF(D15:D35,"OBL",K15:K35)</x:f>
        <x:v>0</x:v>
      </x:c>
      <x:c r="C5"/>
      <x:c r="D5"/>
      <x:c r="E5"/>
      <x:c r="F5"/>
      <x:c r="G5"/>
      <x:c r="H5"/>
      <x:c r="I5"/>
      <x:c r="J5"/>
      <x:c r="K5"/>
      <x:c r="L5"/>
      <x:c r="M5"/>
      <x:c r="N5"/>
      <x:c r="O5"/>
      <x:c r="P5"/>
      <x:c r="Q5"/>
      <x:c r="R5"/>
      <x:c r="S5"/>
      <x:c r="T5"/>
      <x:c r="U5"/>
    </x:row>
    <x:row r="6">
      <x:c r="A6" s="116" t="str">
        <x:v>AT totales ofertados</x:v>
      </x:c>
      <x:c r="B6" s="117" t="n">
        <x:f>SUM(K15:K35)</x:f>
        <x:v>49</x:v>
      </x:c>
      <x:c r="C6"/>
      <x:c r="D6"/>
      <x:c r="E6"/>
      <x:c r="F6"/>
      <x:c r="G6"/>
      <x:c r="H6"/>
      <x:c r="I6"/>
      <x:c r="J6"/>
      <x:c r="K6"/>
      <x:c r="L6"/>
      <x:c r="M6"/>
      <x:c r="N6"/>
      <x:c r="O6"/>
      <x:c r="P6"/>
      <x:c r="Q6"/>
      <x:c r="R6"/>
      <x:c r="S6"/>
      <x:c r="T6"/>
      <x:c r="U6"/>
    </x:row>
    <x:row r="7">
      <x:c r="A7" s="116" t="str">
        <x:v>AT seleccionados</x:v>
      </x:c>
      <x:c r="B7" s="117" t="n">
        <x:f>SUMIF(E15:E35,"Sí",K15:K35)</x:f>
        <x:v>0</x:v>
      </x:c>
      <x:c r="C7"/>
      <x:c r="D7"/>
      <x:c r="E7"/>
      <x:c r="F7"/>
      <x:c r="G7"/>
      <x:c r="H7"/>
      <x:c r="I7"/>
      <x:c r="J7"/>
      <x:c r="K7"/>
      <x:c r="L7"/>
      <x:c r="M7"/>
      <x:c r="N7"/>
      <x:c r="O7"/>
      <x:c r="P7"/>
      <x:c r="Q7"/>
      <x:c r="R7"/>
      <x:c r="S7"/>
      <x:c r="T7"/>
      <x:c r="U7"/>
    </x:row>
    <x:row r="8">
      <x:c r="A8" s="116" t="str">
        <x:v>AT validados</x:v>
      </x:c>
      <x:c r="B8" s="117" t="n">
        <x:f>SUM(P15:P35)</x:f>
        <x:v>0</x:v>
      </x:c>
      <x:c r="C8"/>
      <x:c r="D8"/>
      <x:c r="E8"/>
      <x:c r="F8"/>
      <x:c r="G8"/>
      <x:c r="H8"/>
      <x:c r="I8"/>
      <x:c r="J8"/>
      <x:c r="K8"/>
      <x:c r="L8"/>
      <x:c r="M8"/>
      <x:c r="N8"/>
      <x:c r="O8"/>
      <x:c r="P8"/>
      <x:c r="Q8"/>
      <x:c r="R8"/>
      <x:c r="S8"/>
      <x:c r="T8"/>
      <x:c r="U8"/>
    </x:row>
    <x:row r="9">
      <x:c r="A9" s="116" t="str">
        <x:v>Horas recomendadas seleccionadas</x:v>
      </x:c>
      <x:c r="B9" s="117" t="n">
        <x:f>SUMIF(E15:E35,"Sí",H15:H35)</x:f>
        <x:v>0</x:v>
      </x:c>
      <x:c r="C9"/>
      <x:c r="D9"/>
      <x:c r="E9"/>
      <x:c r="F9"/>
      <x:c r="G9"/>
      <x:c r="H9"/>
      <x:c r="I9"/>
      <x:c r="J9"/>
      <x:c r="K9"/>
      <x:c r="L9"/>
      <x:c r="M9"/>
      <x:c r="N9"/>
      <x:c r="O9"/>
      <x:c r="P9"/>
      <x:c r="Q9"/>
      <x:c r="R9"/>
      <x:c r="S9"/>
      <x:c r="T9"/>
      <x:c r="U9"/>
    </x:row>
    <x:row r="10">
      <x:c r="A10" s="116" t="str">
        <x:v>Horas presupuestadas seleccionadas</x:v>
      </x:c>
      <x:c r="B10" s="117" t="n">
        <x:f>SUMIF(E15:E35,"Sí",I15:I35)</x:f>
        <x:v>0</x:v>
      </x:c>
      <x:c r="C10"/>
      <x:c r="D10"/>
      <x:c r="E10"/>
      <x:c r="F10"/>
      <x:c r="G10"/>
      <x:c r="H10"/>
      <x:c r="I10"/>
      <x:c r="J10"/>
      <x:c r="K10"/>
      <x:c r="L10"/>
      <x:c r="M10"/>
      <x:c r="N10"/>
      <x:c r="O10"/>
      <x:c r="P10"/>
      <x:c r="Q10"/>
      <x:c r="R10"/>
      <x:c r="S10"/>
      <x:c r="T10"/>
      <x:c r="U10"/>
    </x:row>
    <x:row r="11">
      <x:c r="A11" s="116" t="str">
        <x:v>Horas dedicadas</x:v>
      </x:c>
      <x:c r="B11" s="117" t="n">
        <x:f>SUM(J15:J35)</x:f>
        <x:v>0</x:v>
      </x:c>
      <x:c r="C11"/>
      <x:c r="D11"/>
      <x:c r="E11"/>
      <x:c r="F11"/>
      <x:c r="G11"/>
      <x:c r="H11"/>
      <x:c r="I11"/>
      <x:c r="J11"/>
      <x:c r="K11"/>
      <x:c r="L11"/>
      <x:c r="M11"/>
      <x:c r="N11"/>
      <x:c r="O11"/>
      <x:c r="P11"/>
      <x:c r="Q11"/>
      <x:c r="R11"/>
      <x:c r="S11"/>
      <x:c r="T11"/>
      <x:c r="U11"/>
    </x:row>
    <x:row r="12">
      <x:c r="A12" s="116" t="str">
        <x:v>Progreso ponderado por AT</x:v>
      </x:c>
      <x:c r="B12" s="118" t="n">
        <x:f>IF(B7=0,0,SUM(Q15:Q35)/B7)</x:f>
        <x:v>0</x:v>
      </x:c>
      <x:c r="C12"/>
      <x:c r="D12"/>
      <x:c r="E12"/>
      <x:c r="F12"/>
      <x:c r="G12"/>
      <x:c r="H12"/>
      <x:c r="I12"/>
      <x:c r="J12"/>
      <x:c r="K12"/>
      <x:c r="L12"/>
      <x:c r="M12"/>
      <x:c r="N12"/>
      <x:c r="O12"/>
      <x:c r="P12"/>
      <x:c r="Q12"/>
      <x:c r="R12"/>
      <x:c r="S12"/>
      <x:c r="T12"/>
      <x:c r="U12"/>
    </x:row>
    <x:row r="13">
      <x:c r="A13"/>
      <x:c r="B13"/>
      <x:c r="C13"/>
      <x:c r="D13"/>
      <x:c r="E13"/>
      <x:c r="F13"/>
      <x:c r="G13"/>
      <x:c r="H13"/>
      <x:c r="I13"/>
      <x:c r="J13"/>
      <x:c r="K13"/>
      <x:c r="L13"/>
      <x:c r="M13"/>
      <x:c r="N13"/>
      <x:c r="O13"/>
      <x:c r="P13"/>
      <x:c r="Q13"/>
      <x:c r="R13"/>
      <x:c r="S13"/>
      <x:c r="T13"/>
      <x:c r="U13"/>
    </x:row>
    <x:row r="14" ht="44" customHeight="1">
      <x:c r="A14" s="100" t="str">
        <x:v>ID</x:v>
      </x:c>
      <x:c r="B14" s="100" t="str">
        <x:v>Especificación / funcionalidad</x:v>
      </x:c>
      <x:c r="C14" s="100" t="str">
        <x:v>Tarea / entregable</x:v>
      </x:c>
      <x:c r="D14" s="100" t="str">
        <x:v>Tipo</x:v>
      </x:c>
      <x:c r="E14" s="100" t="str">
        <x:v>Seleccionada</x:v>
      </x:c>
      <x:c r="F14" s="100" t="str">
        <x:v>Hito recomendado</x:v>
      </x:c>
      <x:c r="G14" s="100" t="str">
        <x:v>Hito elegido</x:v>
      </x:c>
      <x:c r="H14" s="100" t="str">
        <x:v>Horas recomendadas (equipo)</x:v>
      </x:c>
      <x:c r="I14" s="100" t="str">
        <x:v>Horas presupuestadas (equipo)</x:v>
      </x:c>
      <x:c r="J14" s="100" t="str">
        <x:v>Horas dedicadas (equipo)</x:v>
      </x:c>
      <x:c r="K14" s="100" t="str">
        <x:v>AT</x:v>
      </x:c>
      <x:c r="L14" s="100" t="str">
        <x:v>Responsable</x:v>
      </x:c>
      <x:c r="M14" s="100" t="str">
        <x:v>Sprint</x:v>
      </x:c>
      <x:c r="N14" s="100" t="str">
        <x:v>% realizado</x:v>
      </x:c>
      <x:c r="O14" s="100" t="str">
        <x:v>Estado</x:v>
      </x:c>
      <x:c r="P14" s="100" t="str">
        <x:v>AT validados</x:v>
      </x:c>
      <x:c r="Q14" s="100" t="str">
        <x:v>AT progreso</x:v>
      </x:c>
      <x:c r="R14" s="100" t="str">
        <x:v>Criterios de aceptación</x:v>
      </x:c>
      <x:c r="S14" s="100" t="str">
        <x:v>Evidencia esperada</x:v>
      </x:c>
      <x:c r="T14" s="100" t="str">
        <x:v>Dependencias</x:v>
      </x:c>
      <x:c r="U14" s="100" t="str">
        <x:v>Observaciones</x:v>
      </x:c>
    </x:row>
    <x:row r="15">
      <x:c r="A15" s="104" t="str">
        <x:v>SGE.ODOO.01</x:v>
      </x:c>
      <x:c r="B15" s="104" t="str">
        <x:v>Base Odoo</x:v>
      </x:c>
      <x:c r="C15" s="104" t="str">
        <x:v>Definir instancia/módulos Odoo y datos ficticios de trabajo</x:v>
      </x:c>
      <x:c r="D15" s="104" t="str">
        <x:v>OPT</x:v>
      </x:c>
      <x:c r="E15" s="107" t="str">
        <x:v>No</x:v>
      </x:c>
      <x:c r="F15" s="104" t="str">
        <x:v>H3</x:v>
      </x:c>
      <x:c r="G15" s="107"/>
      <x:c r="H15" s="104" t="n">
        <x:v>3</x:v>
      </x:c>
      <x:c r="I15" s="107" t="n">
        <x:v>3</x:v>
      </x:c>
      <x:c r="J15" s="107"/>
      <x:c r="K15" s="104" t="n">
        <x:v>2</x:v>
      </x:c>
      <x:c r="L15" s="107"/>
      <x:c r="M15" s="107"/>
      <x:c r="N15" s="108" t="n">
        <x:v>0</x:v>
      </x:c>
      <x:c r="O15" s="107" t="str">
        <x:v>NO CONTRATADA</x:v>
      </x:c>
      <x:c r="P15" s="109" t="n">
        <x:f>IF(AND(E15="Sí",O15="ACEPTADA"),K15,0)</x:f>
        <x:v>0</x:v>
      </x:c>
      <x:c r="Q15" s="109" t="n">
        <x:f>IF(E15="Sí",K15*N15,0)</x:f>
        <x:v>0</x:v>
      </x:c>
      <x:c r="R15" s="104" t="str">
        <x:v>Existe entorno reproducible o accesible con dataset no sensible y módulos documentados.</x:v>
      </x:c>
      <x:c r="S15" s="104" t="str">
        <x:v>Runbook + dataset</x:v>
      </x:c>
      <x:c r="T15" s="104" t="str">
        <x:v>Cuenta/instancia Odoo</x:v>
      </x:c>
      <x:c r="U15" s="107" t="str"/>
    </x:row>
    <x:row r="16">
      <x:c r="A16" s="104" t="str">
        <x:v>SGE.ODOO.02</x:v>
      </x:c>
      <x:c r="B16" s="104" t="str">
        <x:v>Base Odoo</x:v>
      </x:c>
      <x:c r="C16" s="104" t="str">
        <x:v>Configurar autenticación de integración AulaFlow↔Odoo</x:v>
      </x:c>
      <x:c r="D16" s="104" t="str">
        <x:v>OPT</x:v>
      </x:c>
      <x:c r="E16" s="107" t="str">
        <x:v>No</x:v>
      </x:c>
      <x:c r="F16" s="104" t="str">
        <x:v>H3</x:v>
      </x:c>
      <x:c r="G16" s="107"/>
      <x:c r="H16" s="104" t="n">
        <x:v>4</x:v>
      </x:c>
      <x:c r="I16" s="107" t="n">
        <x:v>4</x:v>
      </x:c>
      <x:c r="J16" s="107"/>
      <x:c r="K16" s="104" t="n">
        <x:v>2</x:v>
      </x:c>
      <x:c r="L16" s="107"/>
      <x:c r="M16" s="107"/>
      <x:c r="N16" s="108" t="n">
        <x:v>0</x:v>
      </x:c>
      <x:c r="O16" s="107" t="str">
        <x:v>NO CONTRATADA</x:v>
      </x:c>
      <x:c r="P16" s="109" t="n">
        <x:f>IF(AND(E16="Sí",O16="ACEPTADA"),K16,0)</x:f>
        <x:v>0</x:v>
      </x:c>
      <x:c r="Q16" s="109" t="n">
        <x:f>IF(E16="Sí",K16*N16,0)</x:f>
        <x:v>0</x:v>
      </x:c>
      <x:c r="R16" s="104" t="str">
        <x:v>Las credenciales no están en Git y la conexión puede validarse con un caso mínimo.</x:v>
      </x:c>
      <x:c r="S16" s="104" t="str">
        <x:v>Config + test conexión</x:v>
      </x:c>
      <x:c r="T16" s="104" t="str">
        <x:v>SGE.ODOO.01</x:v>
      </x:c>
      <x:c r="U16" s="107" t="str"/>
    </x:row>
    <x:row r="17">
      <x:c r="A17" s="104" t="str">
        <x:v>SGE.ODOO.03</x:v>
      </x:c>
      <x:c r="B17" s="104" t="str">
        <x:v>Base Odoo</x:v>
      </x:c>
      <x:c r="C17" s="104" t="str">
        <x:v>Crear cliente/servicio de integración desacoplado del dominio</x:v>
      </x:c>
      <x:c r="D17" s="104" t="str">
        <x:v>OPT</x:v>
      </x:c>
      <x:c r="E17" s="107" t="str">
        <x:v>No</x:v>
      </x:c>
      <x:c r="F17" s="104" t="str">
        <x:v>H3</x:v>
      </x:c>
      <x:c r="G17" s="107"/>
      <x:c r="H17" s="104" t="n">
        <x:v>4</x:v>
      </x:c>
      <x:c r="I17" s="107" t="n">
        <x:v>4</x:v>
      </x:c>
      <x:c r="J17" s="107"/>
      <x:c r="K17" s="104" t="n">
        <x:v>2</x:v>
      </x:c>
      <x:c r="L17" s="107"/>
      <x:c r="M17" s="107"/>
      <x:c r="N17" s="108" t="n">
        <x:v>0</x:v>
      </x:c>
      <x:c r="O17" s="107" t="str">
        <x:v>NO CONTRATADA</x:v>
      </x:c>
      <x:c r="P17" s="109" t="n">
        <x:f>IF(AND(E17="Sí",O17="ACEPTADA"),K17,0)</x:f>
        <x:v>0</x:v>
      </x:c>
      <x:c r="Q17" s="109" t="n">
        <x:f>IF(E17="Sí",K17*N17,0)</x:f>
        <x:v>0</x:v>
      </x:c>
      <x:c r="R17" s="104" t="str">
        <x:v>La lógica de Odoo queda aislada y puede fallar sin corromper la lógica principal.</x:v>
      </x:c>
      <x:c r="S17" s="104" t="str">
        <x:v>Código + test/mocks</x:v>
      </x:c>
      <x:c r="T17" s="104" t="str">
        <x:v>SGE.ODOO.02</x:v>
      </x:c>
      <x:c r="U17" s="107" t="str"/>
    </x:row>
    <x:row r="18">
      <x:c r="A18" s="104" t="str">
        <x:v>SGE.ODOO.04</x:v>
      </x:c>
      <x:c r="B18" s="104" t="str">
        <x:v>Base Odoo</x:v>
      </x:c>
      <x:c r="C18" s="104" t="str">
        <x:v>Definir tabla/mapeo de IDs externos</x:v>
      </x:c>
      <x:c r="D18" s="104" t="str">
        <x:v>OPT</x:v>
      </x:c>
      <x:c r="E18" s="107" t="str">
        <x:v>No</x:v>
      </x:c>
      <x:c r="F18" s="104" t="str">
        <x:v>H3</x:v>
      </x:c>
      <x:c r="G18" s="107"/>
      <x:c r="H18" s="104" t="n">
        <x:v>3</x:v>
      </x:c>
      <x:c r="I18" s="107" t="n">
        <x:v>3</x:v>
      </x:c>
      <x:c r="J18" s="107"/>
      <x:c r="K18" s="104" t="n">
        <x:v>2</x:v>
      </x:c>
      <x:c r="L18" s="107"/>
      <x:c r="M18" s="107"/>
      <x:c r="N18" s="108" t="n">
        <x:v>0</x:v>
      </x:c>
      <x:c r="O18" s="107" t="str">
        <x:v>NO CONTRATADA</x:v>
      </x:c>
      <x:c r="P18" s="109" t="n">
        <x:f>IF(AND(E18="Sí",O18="ACEPTADA"),K18,0)</x:f>
        <x:v>0</x:v>
      </x:c>
      <x:c r="Q18" s="109" t="n">
        <x:f>IF(E18="Sí",K18*N18,0)</x:f>
        <x:v>0</x:v>
      </x:c>
      <x:c r="R18" s="104" t="str">
        <x:v>Los vínculos usan identificadores persistentes y no nombres editables como clave única.</x:v>
      </x:c>
      <x:c r="S18" s="104" t="str">
        <x:v>Modelo + tests</x:v>
      </x:c>
      <x:c r="T18" s="104" t="str">
        <x:v>SGE.ODOO.03</x:v>
      </x:c>
      <x:c r="U18" s="107" t="str"/>
    </x:row>
    <x:row r="19">
      <x:c r="A19" s="104" t="str">
        <x:v>SGE.PROJ.01</x:v>
      </x:c>
      <x:c r="B19" s="104" t="str">
        <x:v>Proyectos y tareas Odoo</x:v>
      </x:c>
      <x:c r="C19" s="104" t="str">
        <x:v>Mapear espacio/proyecto AulaFlow con proyecto Odoo</x:v>
      </x:c>
      <x:c r="D19" s="104" t="str">
        <x:v>OPT</x:v>
      </x:c>
      <x:c r="E19" s="107" t="str">
        <x:v>No</x:v>
      </x:c>
      <x:c r="F19" s="104" t="str">
        <x:v>H4</x:v>
      </x:c>
      <x:c r="G19" s="107"/>
      <x:c r="H19" s="104" t="n">
        <x:v>4</x:v>
      </x:c>
      <x:c r="I19" s="107" t="n">
        <x:v>4</x:v>
      </x:c>
      <x:c r="J19" s="107"/>
      <x:c r="K19" s="104" t="n">
        <x:v>2</x:v>
      </x:c>
      <x:c r="L19" s="107"/>
      <x:c r="M19" s="107"/>
      <x:c r="N19" s="108" t="n">
        <x:v>0</x:v>
      </x:c>
      <x:c r="O19" s="107" t="str">
        <x:v>NO CONTRATADA</x:v>
      </x:c>
      <x:c r="P19" s="109" t="n">
        <x:f>IF(AND(E19="Sí",O19="ACEPTADA"),K19,0)</x:f>
        <x:v>0</x:v>
      </x:c>
      <x:c r="Q19" s="109" t="n">
        <x:f>IF(E19="Sí",K19*N19,0)</x:f>
        <x:v>0</x:v>
      </x:c>
      <x:c r="R19" s="104" t="str">
        <x:v>Existe correspondencia explícita y repetible entre ambos modelos.</x:v>
      </x:c>
      <x:c r="S19" s="104" t="str">
        <x:v>Tabla de mapeo + demo</x:v>
      </x:c>
      <x:c r="T19" s="104" t="str">
        <x:v>SGE.ODOO.04; AD espacios</x:v>
      </x:c>
      <x:c r="U19" s="107" t="str"/>
    </x:row>
    <x:row r="20">
      <x:c r="A20" s="104" t="str">
        <x:v>SGE.PROJ.02</x:v>
      </x:c>
      <x:c r="B20" s="104" t="str">
        <x:v>Proyectos y tareas Odoo</x:v>
      </x:c>
      <x:c r="C20" s="104" t="str">
        <x:v>Crear proyecto Odoo desde un espacio AulaFlow</x:v>
      </x:c>
      <x:c r="D20" s="104" t="str">
        <x:v>OPT</x:v>
      </x:c>
      <x:c r="E20" s="107" t="str">
        <x:v>No</x:v>
      </x:c>
      <x:c r="F20" s="104" t="str">
        <x:v>H4</x:v>
      </x:c>
      <x:c r="G20" s="107"/>
      <x:c r="H20" s="104" t="n">
        <x:v>5</x:v>
      </x:c>
      <x:c r="I20" s="107" t="n">
        <x:v>5</x:v>
      </x:c>
      <x:c r="J20" s="107"/>
      <x:c r="K20" s="104" t="n">
        <x:v>3</x:v>
      </x:c>
      <x:c r="L20" s="107"/>
      <x:c r="M20" s="107"/>
      <x:c r="N20" s="108" t="n">
        <x:v>0</x:v>
      </x:c>
      <x:c r="O20" s="107" t="str">
        <x:v>NO CONTRATADA</x:v>
      </x:c>
      <x:c r="P20" s="109" t="n">
        <x:f>IF(AND(E20="Sí",O20="ACEPTADA"),K20,0)</x:f>
        <x:v>0</x:v>
      </x:c>
      <x:c r="Q20" s="109" t="n">
        <x:f>IF(E20="Sí",K20*N20,0)</x:f>
        <x:v>0</x:v>
      </x:c>
      <x:c r="R20" s="104" t="str">
        <x:v>La creación genera una única entidad externa y guarda el ID de retorno.</x:v>
      </x:c>
      <x:c r="S20" s="104" t="str">
        <x:v>Test/demo</x:v>
      </x:c>
      <x:c r="T20" s="104" t="str">
        <x:v>SGE.PROJ.01</x:v>
      </x:c>
      <x:c r="U20" s="107" t="str"/>
    </x:row>
    <x:row r="21">
      <x:c r="A21" s="104" t="str">
        <x:v>SGE.PROJ.03</x:v>
      </x:c>
      <x:c r="B21" s="104" t="str">
        <x:v>Proyectos y tareas Odoo</x:v>
      </x:c>
      <x:c r="C21" s="104" t="str">
        <x:v>Crear tarea Odoo desde tarjeta AulaFlow</x:v>
      </x:c>
      <x:c r="D21" s="104" t="str">
        <x:v>OPT</x:v>
      </x:c>
      <x:c r="E21" s="107" t="str">
        <x:v>No</x:v>
      </x:c>
      <x:c r="F21" s="104" t="str">
        <x:v>H4</x:v>
      </x:c>
      <x:c r="G21" s="107"/>
      <x:c r="H21" s="104" t="n">
        <x:v>5</x:v>
      </x:c>
      <x:c r="I21" s="107" t="n">
        <x:v>5</x:v>
      </x:c>
      <x:c r="J21" s="107"/>
      <x:c r="K21" s="104" t="n">
        <x:v>3</x:v>
      </x:c>
      <x:c r="L21" s="107"/>
      <x:c r="M21" s="107"/>
      <x:c r="N21" s="108" t="n">
        <x:v>0</x:v>
      </x:c>
      <x:c r="O21" s="107" t="str">
        <x:v>NO CONTRATADA</x:v>
      </x:c>
      <x:c r="P21" s="109" t="n">
        <x:f>IF(AND(E21="Sí",O21="ACEPTADA"),K21,0)</x:f>
        <x:v>0</x:v>
      </x:c>
      <x:c r="Q21" s="109" t="n">
        <x:f>IF(E21="Sí",K21*N21,0)</x:f>
        <x:v>0</x:v>
      </x:c>
      <x:c r="R21" s="104" t="str">
        <x:v>La tarjeta contratada se refleja con los campos acordados y sin duplicados.</x:v>
      </x:c>
      <x:c r="S21" s="104" t="str">
        <x:v>Test/demo</x:v>
      </x:c>
      <x:c r="T21" s="104" t="str">
        <x:v>SGE.PROJ.02</x:v>
      </x:c>
      <x:c r="U21" s="107" t="str"/>
    </x:row>
    <x:row r="22">
      <x:c r="A22" s="104" t="str">
        <x:v>SGE.PROJ.04</x:v>
      </x:c>
      <x:c r="B22" s="104" t="str">
        <x:v>Proyectos y tareas Odoo</x:v>
      </x:c>
      <x:c r="C22" s="104" t="str">
        <x:v>Actualizar estado/prioridad de tarea sincronizada</x:v>
      </x:c>
      <x:c r="D22" s="104" t="str">
        <x:v>ADV</x:v>
      </x:c>
      <x:c r="E22" s="107" t="str">
        <x:v>No</x:v>
      </x:c>
      <x:c r="F22" s="104" t="str">
        <x:v>H4</x:v>
      </x:c>
      <x:c r="G22" s="107"/>
      <x:c r="H22" s="104" t="n">
        <x:v>5</x:v>
      </x:c>
      <x:c r="I22" s="107" t="n">
        <x:v>5</x:v>
      </x:c>
      <x:c r="J22" s="107"/>
      <x:c r="K22" s="104" t="n">
        <x:v>3</x:v>
      </x:c>
      <x:c r="L22" s="107"/>
      <x:c r="M22" s="107"/>
      <x:c r="N22" s="108" t="n">
        <x:v>0</x:v>
      </x:c>
      <x:c r="O22" s="107" t="str">
        <x:v>NO CONTRATADA</x:v>
      </x:c>
      <x:c r="P22" s="109" t="n">
        <x:f>IF(AND(E22="Sí",O22="ACEPTADA"),K22,0)</x:f>
        <x:v>0</x:v>
      </x:c>
      <x:c r="Q22" s="109" t="n">
        <x:f>IF(E22="Sí",K22*N22,0)</x:f>
        <x:v>0</x:v>
      </x:c>
      <x:c r="R22" s="104" t="str">
        <x:v>Cambiar el subconjunto acordado actualiza el otro sistema siguiendo una dirección definida.</x:v>
      </x:c>
      <x:c r="S22" s="104" t="str">
        <x:v>Demo bidireccional o unidireccional</x:v>
      </x:c>
      <x:c r="T22" s="104" t="str">
        <x:v>SGE.PROJ.03</x:v>
      </x:c>
      <x:c r="U22" s="107" t="str"/>
    </x:row>
    <x:row r="23">
      <x:c r="A23" s="104" t="str">
        <x:v>SGE.PROJ.05</x:v>
      </x:c>
      <x:c r="B23" s="104" t="str">
        <x:v>Proyectos y tareas Odoo</x:v>
      </x:c>
      <x:c r="C23" s="104" t="str">
        <x:v>Resolver conflicto de actualización o regla de precedencia</x:v>
      </x:c>
      <x:c r="D23" s="104" t="str">
        <x:v>ADV</x:v>
      </x:c>
      <x:c r="E23" s="107" t="str">
        <x:v>No</x:v>
      </x:c>
      <x:c r="F23" s="104" t="str">
        <x:v>H4</x:v>
      </x:c>
      <x:c r="G23" s="107"/>
      <x:c r="H23" s="104" t="n">
        <x:v>5</x:v>
      </x:c>
      <x:c r="I23" s="107" t="n">
        <x:v>5</x:v>
      </x:c>
      <x:c r="J23" s="107"/>
      <x:c r="K23" s="104" t="n">
        <x:v>3</x:v>
      </x:c>
      <x:c r="L23" s="107"/>
      <x:c r="M23" s="107"/>
      <x:c r="N23" s="108" t="n">
        <x:v>0</x:v>
      </x:c>
      <x:c r="O23" s="107" t="str">
        <x:v>NO CONTRATADA</x:v>
      </x:c>
      <x:c r="P23" s="109" t="n">
        <x:f>IF(AND(E23="Sí",O23="ACEPTADA"),K23,0)</x:f>
        <x:v>0</x:v>
      </x:c>
      <x:c r="Q23" s="109" t="n">
        <x:f>IF(E23="Sí",K23*N23,0)</x:f>
        <x:v>0</x:v>
      </x:c>
      <x:c r="R23" s="104" t="str">
        <x:v>Existe política documentada y un caso de conflicto no produce sobrescritura silenciosa.</x:v>
      </x:c>
      <x:c r="S23" s="104" t="str">
        <x:v>Caso conflicto + ADR</x:v>
      </x:c>
      <x:c r="T23" s="104" t="str">
        <x:v>SGE.PROJ.04</x:v>
      </x:c>
      <x:c r="U23" s="107" t="str"/>
    </x:row>
    <x:row r="24">
      <x:c r="A24" s="104" t="str">
        <x:v>SGE.PROJ.06</x:v>
      </x:c>
      <x:c r="B24" s="104" t="str">
        <x:v>Proyectos y tareas Odoo</x:v>
      </x:c>
      <x:c r="C24" s="104" t="str">
        <x:v>Gestionar caída de Odoo sin bloquear AulaFlow</x:v>
      </x:c>
      <x:c r="D24" s="104" t="str">
        <x:v>ADV</x:v>
      </x:c>
      <x:c r="E24" s="107" t="str">
        <x:v>No</x:v>
      </x:c>
      <x:c r="F24" s="104" t="str">
        <x:v>H4</x:v>
      </x:c>
      <x:c r="G24" s="107"/>
      <x:c r="H24" s="104" t="n">
        <x:v>4</x:v>
      </x:c>
      <x:c r="I24" s="107" t="n">
        <x:v>4</x:v>
      </x:c>
      <x:c r="J24" s="107"/>
      <x:c r="K24" s="104" t="n">
        <x:v>2</x:v>
      </x:c>
      <x:c r="L24" s="107"/>
      <x:c r="M24" s="107"/>
      <x:c r="N24" s="108" t="n">
        <x:v>0</x:v>
      </x:c>
      <x:c r="O24" s="107" t="str">
        <x:v>NO CONTRATADA</x:v>
      </x:c>
      <x:c r="P24" s="109" t="n">
        <x:f>IF(AND(E24="Sí",O24="ACEPTADA"),K24,0)</x:f>
        <x:v>0</x:v>
      </x:c>
      <x:c r="Q24" s="109" t="n">
        <x:f>IF(E24="Sí",K24*N24,0)</x:f>
        <x:v>0</x:v>
      </x:c>
      <x:c r="R24" s="104" t="str">
        <x:v>Una indisponibilidad externa produce estado/reintento comprensible y AulaFlow conserva su consistencia.</x:v>
      </x:c>
      <x:c r="S24" s="104" t="str">
        <x:v>Test fallo</x:v>
      </x:c>
      <x:c r="T24" s="104" t="str">
        <x:v>SGE.ODOO.03</x:v>
      </x:c>
      <x:c r="U24" s="107" t="str"/>
    </x:row>
    <x:row r="25">
      <x:c r="A25" s="104" t="str">
        <x:v>SGE.ORG.01</x:v>
      </x:c>
      <x:c r="B25" s="104" t="str">
        <x:v>Organizaciones/contactos</x:v>
      </x:c>
      <x:c r="C25" s="104" t="str">
        <x:v>Mapear organizaciones con partners/contactos Odoo</x:v>
      </x:c>
      <x:c r="D25" s="104" t="str">
        <x:v>OPT</x:v>
      </x:c>
      <x:c r="E25" s="107" t="str">
        <x:v>No</x:v>
      </x:c>
      <x:c r="F25" s="104" t="str">
        <x:v>H4</x:v>
      </x:c>
      <x:c r="G25" s="107"/>
      <x:c r="H25" s="104" t="n">
        <x:v>4</x:v>
      </x:c>
      <x:c r="I25" s="107" t="n">
        <x:v>4</x:v>
      </x:c>
      <x:c r="J25" s="107"/>
      <x:c r="K25" s="104" t="n">
        <x:v>2</x:v>
      </x:c>
      <x:c r="L25" s="107"/>
      <x:c r="M25" s="107"/>
      <x:c r="N25" s="108" t="n">
        <x:v>0</x:v>
      </x:c>
      <x:c r="O25" s="107" t="str">
        <x:v>NO CONTRATADA</x:v>
      </x:c>
      <x:c r="P25" s="109" t="n">
        <x:f>IF(AND(E25="Sí",O25="ACEPTADA"),K25,0)</x:f>
        <x:v>0</x:v>
      </x:c>
      <x:c r="Q25" s="109" t="n">
        <x:f>IF(E25="Sí",K25*N25,0)</x:f>
        <x:v>0</x:v>
      </x:c>
      <x:c r="R25" s="104" t="str">
        <x:v>El mapeo define campos mínimos y finalidad sin exportar datos innecesarios.</x:v>
      </x:c>
      <x:c r="S25" s="104" t="str">
        <x:v>Documento + test</x:v>
      </x:c>
      <x:c r="T25" s="104" t="str">
        <x:v>AD espacios</x:v>
      </x:c>
      <x:c r="U25" s="107" t="str"/>
    </x:row>
    <x:row r="26">
      <x:c r="A26" s="104" t="str">
        <x:v>SGE.ORG.02</x:v>
      </x:c>
      <x:c r="B26" s="104" t="str">
        <x:v>Organizaciones/contactos</x:v>
      </x:c>
      <x:c r="C26" s="104" t="str">
        <x:v>Sincronizar alta/cambio de organización</x:v>
      </x:c>
      <x:c r="D26" s="104" t="str">
        <x:v>OPT</x:v>
      </x:c>
      <x:c r="E26" s="107" t="str">
        <x:v>No</x:v>
      </x:c>
      <x:c r="F26" s="104" t="str">
        <x:v>H4</x:v>
      </x:c>
      <x:c r="G26" s="107"/>
      <x:c r="H26" s="104" t="n">
        <x:v>5</x:v>
      </x:c>
      <x:c r="I26" s="107" t="n">
        <x:v>5</x:v>
      </x:c>
      <x:c r="J26" s="107"/>
      <x:c r="K26" s="104" t="n">
        <x:v>3</x:v>
      </x:c>
      <x:c r="L26" s="107"/>
      <x:c r="M26" s="107"/>
      <x:c r="N26" s="108" t="n">
        <x:v>0</x:v>
      </x:c>
      <x:c r="O26" s="107" t="str">
        <x:v>NO CONTRATADA</x:v>
      </x:c>
      <x:c r="P26" s="109" t="n">
        <x:f>IF(AND(E26="Sí",O26="ACEPTADA"),K26,0)</x:f>
        <x:v>0</x:v>
      </x:c>
      <x:c r="Q26" s="109" t="n">
        <x:f>IF(E26="Sí",K26*N26,0)</x:f>
        <x:v>0</x:v>
      </x:c>
      <x:c r="R26" s="104" t="str">
        <x:v>Alta/cambio se refleja sin duplicar partner y conserva ID externo.</x:v>
      </x:c>
      <x:c r="S26" s="104" t="str">
        <x:v>Demo + test</x:v>
      </x:c>
      <x:c r="T26" s="104" t="str">
        <x:v>SGE.ORG.01</x:v>
      </x:c>
      <x:c r="U26" s="107" t="str"/>
    </x:row>
    <x:row r="27">
      <x:c r="A27" s="104" t="str">
        <x:v>SGE.ORG.03</x:v>
      </x:c>
      <x:c r="B27" s="104" t="str">
        <x:v>Organizaciones/contactos</x:v>
      </x:c>
      <x:c r="C27" s="104" t="str">
        <x:v>Mapear miembros autorizados con contactos</x:v>
      </x:c>
      <x:c r="D27" s="104" t="str">
        <x:v>OPT</x:v>
      </x:c>
      <x:c r="E27" s="107" t="str">
        <x:v>No</x:v>
      </x:c>
      <x:c r="F27" s="104" t="str">
        <x:v>H4</x:v>
      </x:c>
      <x:c r="G27" s="107"/>
      <x:c r="H27" s="104" t="n">
        <x:v>4</x:v>
      </x:c>
      <x:c r="I27" s="107" t="n">
        <x:v>4</x:v>
      </x:c>
      <x:c r="J27" s="107"/>
      <x:c r="K27" s="104" t="n">
        <x:v>2</x:v>
      </x:c>
      <x:c r="L27" s="107"/>
      <x:c r="M27" s="107"/>
      <x:c r="N27" s="108" t="n">
        <x:v>0</x:v>
      </x:c>
      <x:c r="O27" s="107" t="str">
        <x:v>NO CONTRATADA</x:v>
      </x:c>
      <x:c r="P27" s="109" t="n">
        <x:f>IF(AND(E27="Sí",O27="ACEPTADA"),K27,0)</x:f>
        <x:v>0</x:v>
      </x:c>
      <x:c r="Q27" s="109" t="n">
        <x:f>IF(E27="Sí",K27*N27,0)</x:f>
        <x:v>0</x:v>
      </x:c>
      <x:c r="R27" s="104" t="str">
        <x:v>Solo datos ficticios/necesarios se sincronizan y el vínculo es trazable.</x:v>
      </x:c>
      <x:c r="S27" s="104" t="str">
        <x:v>Demo dataset</x:v>
      </x:c>
      <x:c r="T27" s="104" t="str">
        <x:v>SGE.ORG.01</x:v>
      </x:c>
      <x:c r="U27" s="107" t="str"/>
    </x:row>
    <x:row r="28">
      <x:c r="A28" s="104" t="str">
        <x:v>SGE.ORG.04</x:v>
      </x:c>
      <x:c r="B28" s="104" t="str">
        <x:v>Organizaciones/contactos</x:v>
      </x:c>
      <x:c r="C28" s="104" t="str">
        <x:v>Evitar duplicados de partners/contactos</x:v>
      </x:c>
      <x:c r="D28" s="104" t="str">
        <x:v>ADV</x:v>
      </x:c>
      <x:c r="E28" s="107" t="str">
        <x:v>No</x:v>
      </x:c>
      <x:c r="F28" s="104" t="str">
        <x:v>H4</x:v>
      </x:c>
      <x:c r="G28" s="107"/>
      <x:c r="H28" s="104" t="n">
        <x:v>4</x:v>
      </x:c>
      <x:c r="I28" s="107" t="n">
        <x:v>4</x:v>
      </x:c>
      <x:c r="J28" s="107"/>
      <x:c r="K28" s="104" t="n">
        <x:v>2</x:v>
      </x:c>
      <x:c r="L28" s="107"/>
      <x:c r="M28" s="107"/>
      <x:c r="N28" s="108" t="n">
        <x:v>0</x:v>
      </x:c>
      <x:c r="O28" s="107" t="str">
        <x:v>NO CONTRATADA</x:v>
      </x:c>
      <x:c r="P28" s="109" t="n">
        <x:f>IF(AND(E28="Sí",O28="ACEPTADA"),K28,0)</x:f>
        <x:v>0</x:v>
      </x:c>
      <x:c r="Q28" s="109" t="n">
        <x:f>IF(E28="Sí",K28*N28,0)</x:f>
        <x:v>0</x:v>
      </x:c>
      <x:c r="R28" s="104" t="str">
        <x:v>Repetir sincronización no crea duplicados básicos.</x:v>
      </x:c>
      <x:c r="S28" s="104" t="str">
        <x:v>Test idempotencia</x:v>
      </x:c>
      <x:c r="T28" s="104" t="str">
        <x:v>SGE.ORG.02/03</x:v>
      </x:c>
      <x:c r="U28" s="107" t="str"/>
    </x:row>
    <x:row r="29">
      <x:c r="A29" s="104" t="str">
        <x:v>SGE.REP.01</x:v>
      </x:c>
      <x:c r="B29" s="104" t="str">
        <x:v>Reporting empresarial</x:v>
      </x:c>
      <x:c r="C29" s="104" t="str">
        <x:v>Definir un caso de negocio y KPIs del flujo Odoo</x:v>
      </x:c>
      <x:c r="D29" s="104" t="str">
        <x:v>OPT</x:v>
      </x:c>
      <x:c r="E29" s="107" t="str">
        <x:v>No</x:v>
      </x:c>
      <x:c r="F29" s="104" t="str">
        <x:v>H4</x:v>
      </x:c>
      <x:c r="G29" s="107"/>
      <x:c r="H29" s="104" t="n">
        <x:v>3</x:v>
      </x:c>
      <x:c r="I29" s="107" t="n">
        <x:v>3</x:v>
      </x:c>
      <x:c r="J29" s="107"/>
      <x:c r="K29" s="104" t="n">
        <x:v>2</x:v>
      </x:c>
      <x:c r="L29" s="107"/>
      <x:c r="M29" s="107"/>
      <x:c r="N29" s="108" t="n">
        <x:v>0</x:v>
      </x:c>
      <x:c r="O29" s="107" t="str">
        <x:v>NO CONTRATADA</x:v>
      </x:c>
      <x:c r="P29" s="109" t="n">
        <x:f>IF(AND(E29="Sí",O29="ACEPTADA"),K29,0)</x:f>
        <x:v>0</x:v>
      </x:c>
      <x:c r="Q29" s="109" t="n">
        <x:f>IF(E29="Sí",K29*N29,0)</x:f>
        <x:v>0</x:v>
      </x:c>
      <x:c r="R29" s="104" t="str">
        <x:v>El caso explica qué decisión o seguimiento aporta al proyecto.</x:v>
      </x:c>
      <x:c r="S29" s="104" t="str">
        <x:v>Spec de negocio</x:v>
      </x:c>
      <x:c r="T29" s="104" t="str">
        <x:v>SGE.PROJ.*</x:v>
      </x:c>
      <x:c r="U29" s="107" t="str"/>
    </x:row>
    <x:row r="30">
      <x:c r="A30" s="104" t="str">
        <x:v>SGE.REP.02</x:v>
      </x:c>
      <x:c r="B30" s="104" t="str">
        <x:v>Reporting empresarial</x:v>
      </x:c>
      <x:c r="C30" s="104" t="str">
        <x:v>Generar reporte de proyectos/tareas sincronizadas</x:v>
      </x:c>
      <x:c r="D30" s="104" t="str">
        <x:v>OPT</x:v>
      </x:c>
      <x:c r="E30" s="107" t="str">
        <x:v>No</x:v>
      </x:c>
      <x:c r="F30" s="104" t="str">
        <x:v>H5</x:v>
      </x:c>
      <x:c r="G30" s="107"/>
      <x:c r="H30" s="104" t="n">
        <x:v>4</x:v>
      </x:c>
      <x:c r="I30" s="107" t="n">
        <x:v>4</x:v>
      </x:c>
      <x:c r="J30" s="107"/>
      <x:c r="K30" s="104" t="n">
        <x:v>2</x:v>
      </x:c>
      <x:c r="L30" s="107"/>
      <x:c r="M30" s="107"/>
      <x:c r="N30" s="108" t="n">
        <x:v>0</x:v>
      </x:c>
      <x:c r="O30" s="107" t="str">
        <x:v>NO CONTRATADA</x:v>
      </x:c>
      <x:c r="P30" s="109" t="n">
        <x:f>IF(AND(E30="Sí",O30="ACEPTADA"),K30,0)</x:f>
        <x:v>0</x:v>
      </x:c>
      <x:c r="Q30" s="109" t="n">
        <x:f>IF(E30="Sí",K30*N30,0)</x:f>
        <x:v>0</x:v>
      </x:c>
      <x:c r="R30" s="104" t="str">
        <x:v>El reporte usa datos reales de integración y su agregación está documentada.</x:v>
      </x:c>
      <x:c r="S30" s="104" t="str">
        <x:v>Informe + consulta</x:v>
      </x:c>
      <x:c r="T30" s="104" t="str">
        <x:v>SGE.REP.01</x:v>
      </x:c>
      <x:c r="U30" s="107" t="str"/>
    </x:row>
    <x:row r="31">
      <x:c r="A31" s="104" t="str">
        <x:v>SGE.REP.03</x:v>
      </x:c>
      <x:c r="B31" s="104" t="str">
        <x:v>Reporting empresarial</x:v>
      </x:c>
      <x:c r="C31" s="104" t="str">
        <x:v>Integrar timesheet/horas simuladas o seguimiento equivalente</x:v>
      </x:c>
      <x:c r="D31" s="104" t="str">
        <x:v>ADV</x:v>
      </x:c>
      <x:c r="E31" s="107" t="str">
        <x:v>No</x:v>
      </x:c>
      <x:c r="F31" s="104" t="str">
        <x:v>H5</x:v>
      </x:c>
      <x:c r="G31" s="107"/>
      <x:c r="H31" s="104" t="n">
        <x:v>5</x:v>
      </x:c>
      <x:c r="I31" s="107" t="n">
        <x:v>5</x:v>
      </x:c>
      <x:c r="J31" s="107"/>
      <x:c r="K31" s="104" t="n">
        <x:v>3</x:v>
      </x:c>
      <x:c r="L31" s="107"/>
      <x:c r="M31" s="107"/>
      <x:c r="N31" s="108" t="n">
        <x:v>0</x:v>
      </x:c>
      <x:c r="O31" s="107" t="str">
        <x:v>NO CONTRATADA</x:v>
      </x:c>
      <x:c r="P31" s="109" t="n">
        <x:f>IF(AND(E31="Sí",O31="ACEPTADA"),K31,0)</x:f>
        <x:v>0</x:v>
      </x:c>
      <x:c r="Q31" s="109" t="n">
        <x:f>IF(E31="Sí",K31*N31,0)</x:f>
        <x:v>0</x:v>
      </x:c>
      <x:c r="R31" s="104" t="str">
        <x:v>Existe flujo trazable entre tarea y horas/actividad empresarial acordada.</x:v>
      </x:c>
      <x:c r="S31" s="104" t="str">
        <x:v>Demo + dataset</x:v>
      </x:c>
      <x:c r="T31" s="104" t="str">
        <x:v>SGE.PROJ.03</x:v>
      </x:c>
      <x:c r="U31" s="107" t="str"/>
    </x:row>
    <x:row r="32">
      <x:c r="A32" s="104" t="str">
        <x:v>SGE.REP.04</x:v>
      </x:c>
      <x:c r="B32" s="104" t="str">
        <x:v>Reporting empresarial</x:v>
      </x:c>
      <x:c r="C32" s="104" t="str">
        <x:v>Comparar estado AulaFlow vs Odoo y detectar desajustes</x:v>
      </x:c>
      <x:c r="D32" s="104" t="str">
        <x:v>ADV</x:v>
      </x:c>
      <x:c r="E32" s="107" t="str">
        <x:v>No</x:v>
      </x:c>
      <x:c r="F32" s="104" t="str">
        <x:v>H5</x:v>
      </x:c>
      <x:c r="G32" s="107"/>
      <x:c r="H32" s="104" t="n">
        <x:v>4</x:v>
      </x:c>
      <x:c r="I32" s="107" t="n">
        <x:v>4</x:v>
      </x:c>
      <x:c r="J32" s="107"/>
      <x:c r="K32" s="104" t="n">
        <x:v>2</x:v>
      </x:c>
      <x:c r="L32" s="107"/>
      <x:c r="M32" s="107"/>
      <x:c r="N32" s="108" t="n">
        <x:v>0</x:v>
      </x:c>
      <x:c r="O32" s="107" t="str">
        <x:v>NO CONTRATADA</x:v>
      </x:c>
      <x:c r="P32" s="109" t="n">
        <x:f>IF(AND(E32="Sí",O32="ACEPTADA"),K32,0)</x:f>
        <x:v>0</x:v>
      </x:c>
      <x:c r="Q32" s="109" t="n">
        <x:f>IF(E32="Sí",K32*N32,0)</x:f>
        <x:v>0</x:v>
      </x:c>
      <x:c r="R32" s="104" t="str">
        <x:v>La herramienta/informe identifica al menos un caso de desalineación preparado.</x:v>
      </x:c>
      <x:c r="S32" s="104" t="str">
        <x:v>Informe de conciliación</x:v>
      </x:c>
      <x:c r="T32" s="104" t="str">
        <x:v>SGE.PROJ.04</x:v>
      </x:c>
      <x:c r="U32" s="107" t="str"/>
    </x:row>
    <x:row r="33">
      <x:c r="A33" s="104" t="str">
        <x:v>SGE.REP.05</x:v>
      </x:c>
      <x:c r="B33" s="104" t="str">
        <x:v>Reporting empresarial</x:v>
      </x:c>
      <x:c r="C33" s="104" t="str">
        <x:v>Exportar/resumir resultado para decisión de proyecto</x:v>
      </x:c>
      <x:c r="D33" s="104" t="str">
        <x:v>OPT</x:v>
      </x:c>
      <x:c r="E33" s="107" t="str">
        <x:v>No</x:v>
      </x:c>
      <x:c r="F33" s="104" t="str">
        <x:v>H5</x:v>
      </x:c>
      <x:c r="G33" s="107"/>
      <x:c r="H33" s="104" t="n">
        <x:v>3</x:v>
      </x:c>
      <x:c r="I33" s="107" t="n">
        <x:v>3</x:v>
      </x:c>
      <x:c r="J33" s="107"/>
      <x:c r="K33" s="104" t="n">
        <x:v>1</x:v>
      </x:c>
      <x:c r="L33" s="107"/>
      <x:c r="M33" s="107"/>
      <x:c r="N33" s="108" t="n">
        <x:v>0</x:v>
      </x:c>
      <x:c r="O33" s="107" t="str">
        <x:v>NO CONTRATADA</x:v>
      </x:c>
      <x:c r="P33" s="109" t="n">
        <x:f>IF(AND(E33="Sí",O33="ACEPTADA"),K33,0)</x:f>
        <x:v>0</x:v>
      </x:c>
      <x:c r="Q33" s="109" t="n">
        <x:f>IF(E33="Sí",K33*N33,0)</x:f>
        <x:v>0</x:v>
      </x:c>
      <x:c r="R33" s="104" t="str">
        <x:v>El resumen es reproducible y enlaza con datos origen.</x:v>
      </x:c>
      <x:c r="S33" s="104" t="str">
        <x:v>Informe versionado</x:v>
      </x:c>
      <x:c r="T33" s="104" t="str">
        <x:v>SGE.REP.02</x:v>
      </x:c>
      <x:c r="U33" s="107" t="str"/>
    </x:row>
    <x:row r="34">
      <x:c r="A34" s="104" t="str">
        <x:v>SGE.QA.01</x:v>
      </x:c>
      <x:c r="B34" s="104" t="str">
        <x:v>Calidad integración</x:v>
      </x:c>
      <x:c r="C34" s="104" t="str">
        <x:v>Pruebas automatizadas con mock/fake del servicio Odoo</x:v>
      </x:c>
      <x:c r="D34" s="104" t="str">
        <x:v>ADV</x:v>
      </x:c>
      <x:c r="E34" s="107" t="str">
        <x:v>No</x:v>
      </x:c>
      <x:c r="F34" s="104" t="str">
        <x:v>H5</x:v>
      </x:c>
      <x:c r="G34" s="107"/>
      <x:c r="H34" s="104" t="n">
        <x:v>5</x:v>
      </x:c>
      <x:c r="I34" s="107" t="n">
        <x:v>5</x:v>
      </x:c>
      <x:c r="J34" s="107"/>
      <x:c r="K34" s="104" t="n">
        <x:v>3</x:v>
      </x:c>
      <x:c r="L34" s="107"/>
      <x:c r="M34" s="107"/>
      <x:c r="N34" s="108" t="n">
        <x:v>0</x:v>
      </x:c>
      <x:c r="O34" s="107" t="str">
        <x:v>NO CONTRATADA</x:v>
      </x:c>
      <x:c r="P34" s="109" t="n">
        <x:f>IF(AND(E34="Sí",O34="ACEPTADA"),K34,0)</x:f>
        <x:v>0</x:v>
      </x:c>
      <x:c r="Q34" s="109" t="n">
        <x:f>IF(E34="Sí",K34*N34,0)</x:f>
        <x:v>0</x:v>
      </x:c>
      <x:c r="R34" s="104" t="str">
        <x:v>Los casos principales pueden probarse sin depender siempre del servicio externo real.</x:v>
      </x:c>
      <x:c r="S34" s="104" t="str">
        <x:v>Tests</x:v>
      </x:c>
      <x:c r="T34" s="104" t="str">
        <x:v>SGE.ODOO.03</x:v>
      </x:c>
      <x:c r="U34" s="107" t="str"/>
    </x:row>
    <x:row r="35">
      <x:c r="A35" s="104" t="str">
        <x:v>SGE.QA.02</x:v>
      </x:c>
      <x:c r="B35" s="104" t="str">
        <x:v>Calidad integración</x:v>
      </x:c>
      <x:c r="C35" s="104" t="str">
        <x:v>Prueba end-to-end con entorno Odoo real/controlado</x:v>
      </x:c>
      <x:c r="D35" s="104" t="str">
        <x:v>ADV</x:v>
      </x:c>
      <x:c r="E35" s="107" t="str">
        <x:v>No</x:v>
      </x:c>
      <x:c r="F35" s="104" t="str">
        <x:v>H5</x:v>
      </x:c>
      <x:c r="G35" s="107"/>
      <x:c r="H35" s="104" t="n">
        <x:v>5</x:v>
      </x:c>
      <x:c r="I35" s="107" t="n">
        <x:v>5</x:v>
      </x:c>
      <x:c r="J35" s="107"/>
      <x:c r="K35" s="104" t="n">
        <x:v>3</x:v>
      </x:c>
      <x:c r="L35" s="107"/>
      <x:c r="M35" s="107"/>
      <x:c r="N35" s="108" t="n">
        <x:v>0</x:v>
      </x:c>
      <x:c r="O35" s="107" t="str">
        <x:v>NO CONTRATADA</x:v>
      </x:c>
      <x:c r="P35" s="109" t="n">
        <x:f>IF(AND(E35="Sí",O35="ACEPTADA"),K35,0)</x:f>
        <x:v>0</x:v>
      </x:c>
      <x:c r="Q35" s="109" t="n">
        <x:f>IF(E35="Sí",K35*N35,0)</x:f>
        <x:v>0</x:v>
      </x:c>
      <x:c r="R35" s="104" t="str">
        <x:v>Se demuestra al menos un flujo completo y un fallo controlado.</x:v>
      </x:c>
      <x:c r="S35" s="104" t="str">
        <x:v>Demo + logs</x:v>
      </x:c>
      <x:c r="T35" s="104" t="str">
        <x:v>SGE.QA.01</x:v>
      </x:c>
      <x:c r="U35" s="107" t="str"/>
    </x:row>
    <x:row r="36">
      <x:c r="A36"/>
      <x:c r="B36"/>
      <x:c r="C36"/>
      <x:c r="D36"/>
      <x:c r="E36"/>
      <x:c r="F36"/>
      <x:c r="G36"/>
      <x:c r="H36"/>
      <x:c r="I36"/>
      <x:c r="J36"/>
      <x:c r="K36"/>
      <x:c r="L36"/>
      <x:c r="M36"/>
      <x:c r="N36"/>
      <x:c r="O36"/>
      <x:c r="P36"/>
      <x:c r="Q36"/>
      <x:c r="R36"/>
      <x:c r="S36"/>
      <x:c r="T36"/>
      <x:c r="U36"/>
    </x:row>
    <x:row r="37">
      <x:c r="A37"/>
      <x:c r="B37"/>
      <x:c r="C37"/>
      <x:c r="D37"/>
      <x:c r="E37"/>
      <x:c r="F37"/>
      <x:c r="G37"/>
      <x:c r="H37"/>
      <x:c r="I37"/>
      <x:c r="J37"/>
      <x:c r="K37"/>
      <x:c r="L37"/>
      <x:c r="M37"/>
      <x:c r="N37"/>
      <x:c r="O37"/>
      <x:c r="P37"/>
      <x:c r="Q37"/>
      <x:c r="R37"/>
      <x:c r="S37"/>
      <x:c r="T37"/>
      <x:c r="U37"/>
    </x:row>
    <x:row r="38">
      <x:c r="A38"/>
      <x:c r="B38"/>
      <x:c r="C38"/>
      <x:c r="D38"/>
      <x:c r="E38"/>
      <x:c r="F38"/>
      <x:c r="G38"/>
      <x:c r="H38"/>
      <x:c r="I38"/>
      <x:c r="J38"/>
      <x:c r="K38"/>
      <x:c r="L38"/>
      <x:c r="M38"/>
      <x:c r="N38"/>
      <x:c r="O38"/>
      <x:c r="P38"/>
      <x:c r="Q38"/>
      <x:c r="R38"/>
      <x:c r="S38"/>
      <x:c r="T38"/>
      <x:c r="U38"/>
    </x:row>
    <x:row r="39">
      <x:c r="A39"/>
      <x:c r="B39"/>
      <x:c r="C39"/>
      <x:c r="D39"/>
      <x:c r="E39"/>
      <x:c r="F39"/>
      <x:c r="G39"/>
      <x:c r="H39"/>
      <x:c r="I39"/>
      <x:c r="J39"/>
      <x:c r="K39"/>
      <x:c r="L39"/>
      <x:c r="M39"/>
      <x:c r="N39"/>
      <x:c r="O39"/>
      <x:c r="P39"/>
      <x:c r="Q39"/>
      <x:c r="R39"/>
      <x:c r="S39"/>
      <x:c r="T39"/>
      <x:c r="U39"/>
    </x:row>
    <x:row r="40">
      <x:c r="A40"/>
      <x:c r="B40"/>
      <x:c r="C40"/>
      <x:c r="D40"/>
      <x:c r="E40"/>
      <x:c r="F40"/>
      <x:c r="G40"/>
      <x:c r="H40"/>
      <x:c r="I40"/>
      <x:c r="J40"/>
      <x:c r="K40"/>
      <x:c r="L40"/>
      <x:c r="M40"/>
      <x:c r="N40"/>
      <x:c r="O40"/>
      <x:c r="P40"/>
      <x:c r="Q40"/>
      <x:c r="R40"/>
      <x:c r="S40"/>
      <x:c r="T40"/>
      <x:c r="U40"/>
    </x:row>
    <x:row r="41">
      <x:c r="A41"/>
      <x:c r="B41"/>
      <x:c r="C41"/>
      <x:c r="D41"/>
      <x:c r="E41"/>
      <x:c r="F41"/>
      <x:c r="G41"/>
      <x:c r="H41"/>
      <x:c r="I41"/>
      <x:c r="J41"/>
      <x:c r="K41"/>
      <x:c r="L41"/>
      <x:c r="M41"/>
      <x:c r="N41"/>
      <x:c r="O41"/>
      <x:c r="P41"/>
      <x:c r="Q41"/>
      <x:c r="R41"/>
      <x:c r="S41"/>
      <x:c r="T41"/>
      <x:c r="U41"/>
    </x:row>
    <x:row r="42">
      <x:c r="A42"/>
      <x:c r="B42"/>
      <x:c r="C42"/>
      <x:c r="D42"/>
      <x:c r="E42"/>
      <x:c r="F42"/>
      <x:c r="G42"/>
      <x:c r="H42"/>
      <x:c r="I42"/>
      <x:c r="J42"/>
      <x:c r="K42"/>
      <x:c r="L42"/>
      <x:c r="M42"/>
      <x:c r="N42"/>
      <x:c r="O42"/>
      <x:c r="P42"/>
      <x:c r="Q42"/>
      <x:c r="R42"/>
      <x:c r="S42"/>
      <x:c r="T42"/>
      <x:c r="U42"/>
    </x:row>
    <x:row r="43">
      <x:c r="A43"/>
      <x:c r="B43"/>
      <x:c r="C43"/>
      <x:c r="D43"/>
      <x:c r="E43"/>
      <x:c r="F43"/>
      <x:c r="G43"/>
      <x:c r="H43"/>
      <x:c r="I43"/>
      <x:c r="J43"/>
      <x:c r="K43"/>
      <x:c r="L43"/>
      <x:c r="M43"/>
      <x:c r="N43"/>
      <x:c r="O43"/>
      <x:c r="P43"/>
      <x:c r="Q43"/>
      <x:c r="R43"/>
      <x:c r="S43"/>
      <x:c r="T43"/>
      <x:c r="U43"/>
    </x:row>
    <x:row r="44">
      <x:c r="A44"/>
      <x:c r="B44"/>
      <x:c r="C44"/>
      <x:c r="D44"/>
      <x:c r="E44"/>
      <x:c r="F44"/>
      <x:c r="G44"/>
      <x:c r="H44"/>
      <x:c r="I44"/>
      <x:c r="J44"/>
      <x:c r="K44"/>
      <x:c r="L44"/>
      <x:c r="M44"/>
      <x:c r="N44"/>
      <x:c r="O44"/>
      <x:c r="P44"/>
      <x:c r="Q44"/>
      <x:c r="R44"/>
      <x:c r="S44"/>
      <x:c r="T44"/>
      <x:c r="U44"/>
    </x:row>
    <x:row r="45">
      <x:c r="A45"/>
      <x:c r="B45"/>
      <x:c r="C45"/>
      <x:c r="D45"/>
      <x:c r="E45"/>
      <x:c r="F45"/>
      <x:c r="G45"/>
      <x:c r="H45"/>
      <x:c r="I45"/>
      <x:c r="J45"/>
      <x:c r="K45"/>
      <x:c r="L45"/>
      <x:c r="M45"/>
      <x:c r="N45"/>
      <x:c r="O45"/>
      <x:c r="P45"/>
      <x:c r="Q45"/>
      <x:c r="R45"/>
      <x:c r="S45"/>
      <x:c r="T45"/>
      <x:c r="U45"/>
    </x:row>
    <x:row r="46">
      <x:c r="A46"/>
      <x:c r="B46"/>
      <x:c r="C46"/>
      <x:c r="D46"/>
      <x:c r="E46"/>
      <x:c r="F46"/>
      <x:c r="G46"/>
      <x:c r="H46"/>
      <x:c r="I46"/>
      <x:c r="J46"/>
      <x:c r="K46"/>
      <x:c r="L46"/>
      <x:c r="M46"/>
      <x:c r="N46"/>
      <x:c r="O46"/>
      <x:c r="P46"/>
      <x:c r="Q46"/>
      <x:c r="R46"/>
      <x:c r="S46"/>
      <x:c r="T46"/>
      <x:c r="U46"/>
    </x:row>
    <x:row r="47">
      <x:c r="A47"/>
      <x:c r="B47"/>
      <x:c r="C47"/>
      <x:c r="D47"/>
      <x:c r="E47"/>
      <x:c r="F47"/>
      <x:c r="G47"/>
      <x:c r="H47"/>
      <x:c r="I47"/>
      <x:c r="J47"/>
      <x:c r="K47"/>
      <x:c r="L47"/>
      <x:c r="M47"/>
      <x:c r="N47"/>
      <x:c r="O47"/>
      <x:c r="P47"/>
      <x:c r="Q47"/>
      <x:c r="R47"/>
      <x:c r="S47"/>
      <x:c r="T47"/>
      <x:c r="U47"/>
    </x:row>
    <x:row r="48">
      <x:c r="A48"/>
      <x:c r="B48"/>
      <x:c r="C48"/>
      <x:c r="D48"/>
      <x:c r="E48"/>
      <x:c r="F48"/>
      <x:c r="G48"/>
      <x:c r="H48"/>
      <x:c r="I48"/>
      <x:c r="J48"/>
      <x:c r="K48"/>
      <x:c r="L48"/>
      <x:c r="M48"/>
      <x:c r="N48"/>
      <x:c r="O48"/>
      <x:c r="P48"/>
      <x:c r="Q48"/>
      <x:c r="R48"/>
      <x:c r="S48"/>
      <x:c r="T48"/>
      <x:c r="U48"/>
    </x:row>
    <x:row r="49">
      <x:c r="A49"/>
      <x:c r="B49"/>
      <x:c r="C49"/>
      <x:c r="D49"/>
      <x:c r="E49"/>
      <x:c r="F49"/>
      <x:c r="G49"/>
      <x:c r="H49"/>
      <x:c r="I49"/>
      <x:c r="J49"/>
      <x:c r="K49"/>
      <x:c r="L49"/>
      <x:c r="M49"/>
      <x:c r="N49"/>
      <x:c r="O49"/>
      <x:c r="P49"/>
      <x:c r="Q49"/>
      <x:c r="R49"/>
      <x:c r="S49"/>
      <x:c r="T49"/>
      <x:c r="U49"/>
    </x:row>
  </x:sheetData>
  <x:mergeCells>
    <x:mergeCell ref="A1:U1"/>
    <x:mergeCell ref="A2:U2"/>
  </x:mergeCells>
  <x:conditionalFormatting sqref="D15:D35">
    <x:cfRule type="expression" dxfId="30" priority="1">
      <x:formula>D15="OBL"</x:formula>
    </x:cfRule>
    <x:cfRule type="expression" dxfId="31" priority="2">
      <x:formula>D15="ADV"</x:formula>
    </x:cfRule>
    <x:cfRule type="expression" dxfId="32" priority="3">
      <x:formula>D15="OPT"</x:formula>
    </x:cfRule>
  </x:conditionalFormatting>
  <x:conditionalFormatting sqref="N15:N35">
    <x:cfRule type="dataBar" priority="4">
      <x:dataBar>
        <x:cfvo type="min"/>
        <x:cfvo type="max"/>
        <x:color rgb="FFA02B93"/>
      </x:dataBar>
      <x:extLst>
        <x:ext xmlns:x14="http://schemas.microsoft.com/office/spreadsheetml/2009/9/main" uri="{B025F937-C7B1-47D3-B67F-A62EFF666E3E}">
          <x14:id>{3AB1E7F2-921E-587B-7C0E-3385D7D68590}</x14:id>
        </x:ext>
      </x:extLst>
    </x:cfRule>
  </x:conditionalFormatting>
  <x:dataValidations count="5">
    <x:dataValidation type="list" sqref="D15:D35">
      <x:formula1>"OBL,OPT,ADV"</x:formula1>
    </x:dataValidation>
    <x:dataValidation type="list" sqref="E15:E35">
      <x:formula1>"Sí,No"</x:formula1>
    </x:dataValidation>
    <x:dataValidation type="list" sqref="O15:O35">
      <x:formula1>"NO CONTRATADA,BACKLOG,PLANIFICADA,EN DESARROLLO,EN REVISIÓN,ACEPTADA,BLOQUEADA,RECUPERACIÓN"</x:formula1>
    </x:dataValidation>
    <x:dataValidation type="list" sqref="G15:G35">
      <x:formula1>"H0,H1,H2,H3,H4,H5"</x:formula1>
    </x:dataValidation>
    <x:dataValidation type="list" sqref="L15:L35">
      <x:formula1>'16 Contrato firma'!$B$7:$B$10</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4" id="{3AB1E7F2-921E-587B-7C0E-3385D7D68590}">
            <x14:dataBar gradient="1">
              <x14:cfvo type="min"/>
              <x14:cfvo type="max"/>
              <x14:fillColor rgb="FFA02B93"/>
            </x14:dataBar>
          </x14:cfRule>
          <xm:sqref>N15:N35</xm:sqref>
        </x14:conditionalFormatting>
      </x14:conditionalFormattings>
    </x:ext>
  </x:extLst>
</x:worksheet>
</file>

<file path=xl/worksheets/sheet10.xml><?xml version="1.0" encoding="utf-8"?>
<x:worksheet xmlns:x="http://schemas.openxmlformats.org/spreadsheetml/2006/main">
  <x:sheetFormatPr defaultRowHeight="15"/>
  <x:cols>
    <x:col min="1" max="1" width="16" hidden="0" customWidth="1"/>
    <x:col min="2" max="2" width="24" hidden="0" customWidth="1"/>
    <x:col min="3" max="3" width="48" hidden="0" customWidth="1"/>
    <x:col min="4" max="4" width="9" hidden="0" customWidth="1"/>
    <x:col min="5" max="5" width="11" hidden="0" customWidth="1"/>
    <x:col min="6" max="6" width="14" hidden="0" customWidth="1"/>
    <x:col min="7" max="7" width="14" hidden="0" customWidth="1"/>
    <x:col min="8" max="8" width="12" hidden="0" customWidth="1"/>
    <x:col min="9" max="9" width="12" hidden="0" customWidth="1"/>
    <x:col min="10" max="10" width="12" hidden="0" customWidth="1"/>
    <x:col min="11" max="11" width="7" hidden="0" customWidth="1"/>
    <x:col min="12" max="12" width="16" hidden="0" customWidth="1"/>
    <x:col min="13" max="13" width="10" hidden="0" customWidth="1"/>
    <x:col min="14" max="14" width="10" hidden="0" customWidth="1"/>
    <x:col min="15" max="15" width="16" hidden="0" customWidth="1"/>
    <x:col min="16" max="16" width="11" hidden="0" customWidth="1"/>
    <x:col min="17" max="17" width="11" hidden="0" customWidth="1"/>
    <x:col min="18" max="18" width="52" hidden="0" customWidth="1"/>
    <x:col min="19" max="19" width="30" hidden="0" customWidth="1"/>
    <x:col min="20" max="20" width="28" hidden="0" customWidth="1"/>
    <x:col min="21" max="21" width="28" hidden="0" customWidth="1"/>
  </x:cols>
  <x:sheetData>
    <x:row r="1" ht="28" customHeight="1">
      <x:c r="A1" s="88" t="str">
        <x:v>Introducción a la Nube Pública · Presupuesto de tareas · AulaFlow 2.0 · v1.0 · copia operativa</x:v>
      </x:c>
      <x:c r="B1" s="88"/>
      <x:c r="C1" s="88"/>
      <x:c r="D1" s="88"/>
      <x:c r="E1" s="88"/>
      <x:c r="F1" s="88"/>
      <x:c r="G1" s="88"/>
      <x:c r="H1" s="88"/>
      <x:c r="I1" s="88"/>
      <x:c r="J1" s="88"/>
      <x:c r="K1" s="88"/>
      <x:c r="L1" s="88"/>
      <x:c r="M1" s="88"/>
      <x:c r="N1" s="88"/>
      <x:c r="O1" s="88"/>
      <x:c r="P1" s="88"/>
      <x:c r="Q1" s="88"/>
      <x:c r="R1" s="88"/>
      <x:c r="S1" s="88"/>
      <x:c r="T1" s="88"/>
      <x:c r="U1" s="88"/>
    </x:row>
    <x:row r="2" ht="40" customHeight="1">
      <x:c r="A2" s="91" t="str">
        <x:v>Banco cloud/operación: arquitectura, IAM, red, registry, despliegue, secretos, observabilidad, costes y CI/CD. Se contrata solo cuando el equipo disponga de infraestructura adecuada. Las horas son horas-persona totales del equipo para cada tarea.</x:v>
      </x:c>
      <x:c r="B2" s="91"/>
      <x:c r="C2" s="91"/>
      <x:c r="D2" s="91"/>
      <x:c r="E2" s="91"/>
      <x:c r="F2" s="91"/>
      <x:c r="G2" s="91"/>
      <x:c r="H2" s="91"/>
      <x:c r="I2" s="91"/>
      <x:c r="J2" s="91"/>
      <x:c r="K2" s="91"/>
      <x:c r="L2" s="91"/>
      <x:c r="M2" s="91"/>
      <x:c r="N2" s="91"/>
      <x:c r="O2" s="91"/>
      <x:c r="P2" s="91"/>
      <x:c r="Q2" s="91"/>
      <x:c r="R2" s="91"/>
      <x:c r="S2" s="91"/>
      <x:c r="T2" s="91"/>
      <x:c r="U2" s="91"/>
    </x:row>
    <x:row r="3">
      <x:c r="A3"/>
      <x:c r="B3"/>
      <x:c r="C3"/>
      <x:c r="D3"/>
      <x:c r="E3"/>
      <x:c r="F3"/>
      <x:c r="G3"/>
      <x:c r="H3"/>
      <x:c r="I3"/>
      <x:c r="J3"/>
      <x:c r="K3"/>
      <x:c r="L3"/>
      <x:c r="M3"/>
      <x:c r="N3"/>
      <x:c r="O3"/>
      <x:c r="P3"/>
      <x:c r="Q3"/>
      <x:c r="R3"/>
      <x:c r="S3"/>
      <x:c r="T3"/>
      <x:c r="U3"/>
    </x:row>
    <x:row r="4">
      <x:c r="A4" s="114" t="str">
        <x:v>RESUMEN</x:v>
      </x:c>
      <x:c r="B4" s="114" t="str">
        <x:v>VALOR</x:v>
      </x:c>
      <x:c r="C4"/>
      <x:c r="D4"/>
      <x:c r="E4"/>
      <x:c r="F4"/>
      <x:c r="G4"/>
      <x:c r="H4"/>
      <x:c r="I4"/>
      <x:c r="J4"/>
      <x:c r="K4"/>
      <x:c r="L4"/>
      <x:c r="M4"/>
      <x:c r="N4"/>
      <x:c r="O4"/>
      <x:c r="P4"/>
      <x:c r="Q4"/>
      <x:c r="R4"/>
      <x:c r="S4"/>
      <x:c r="T4"/>
      <x:c r="U4"/>
    </x:row>
    <x:row r="5">
      <x:c r="A5" s="116" t="str">
        <x:v>AT obligatorios ofertados</x:v>
      </x:c>
      <x:c r="B5" s="117" t="n">
        <x:f>SUMIF(D15:D42,"OBL",K15:K42)</x:f>
        <x:v>0</x:v>
      </x:c>
      <x:c r="C5"/>
      <x:c r="D5"/>
      <x:c r="E5"/>
      <x:c r="F5"/>
      <x:c r="G5"/>
      <x:c r="H5"/>
      <x:c r="I5"/>
      <x:c r="J5"/>
      <x:c r="K5"/>
      <x:c r="L5"/>
      <x:c r="M5"/>
      <x:c r="N5"/>
      <x:c r="O5"/>
      <x:c r="P5"/>
      <x:c r="Q5"/>
      <x:c r="R5"/>
      <x:c r="S5"/>
      <x:c r="T5"/>
      <x:c r="U5"/>
    </x:row>
    <x:row r="6">
      <x:c r="A6" s="116" t="str">
        <x:v>AT totales ofertados</x:v>
      </x:c>
      <x:c r="B6" s="117" t="n">
        <x:f>SUM(K15:K42)</x:f>
        <x:v>62</x:v>
      </x:c>
      <x:c r="C6"/>
      <x:c r="D6"/>
      <x:c r="E6"/>
      <x:c r="F6"/>
      <x:c r="G6"/>
      <x:c r="H6"/>
      <x:c r="I6"/>
      <x:c r="J6"/>
      <x:c r="K6"/>
      <x:c r="L6"/>
      <x:c r="M6"/>
      <x:c r="N6"/>
      <x:c r="O6"/>
      <x:c r="P6"/>
      <x:c r="Q6"/>
      <x:c r="R6"/>
      <x:c r="S6"/>
      <x:c r="T6"/>
      <x:c r="U6"/>
    </x:row>
    <x:row r="7">
      <x:c r="A7" s="116" t="str">
        <x:v>AT seleccionados</x:v>
      </x:c>
      <x:c r="B7" s="117" t="n">
        <x:f>SUMIF(E15:E42,"Sí",K15:K42)</x:f>
        <x:v>0</x:v>
      </x:c>
      <x:c r="C7"/>
      <x:c r="D7"/>
      <x:c r="E7"/>
      <x:c r="F7"/>
      <x:c r="G7"/>
      <x:c r="H7"/>
      <x:c r="I7"/>
      <x:c r="J7"/>
      <x:c r="K7"/>
      <x:c r="L7"/>
      <x:c r="M7"/>
      <x:c r="N7"/>
      <x:c r="O7"/>
      <x:c r="P7"/>
      <x:c r="Q7"/>
      <x:c r="R7"/>
      <x:c r="S7"/>
      <x:c r="T7"/>
      <x:c r="U7"/>
    </x:row>
    <x:row r="8">
      <x:c r="A8" s="116" t="str">
        <x:v>AT validados</x:v>
      </x:c>
      <x:c r="B8" s="117" t="n">
        <x:f>SUM(P15:P42)</x:f>
        <x:v>0</x:v>
      </x:c>
      <x:c r="C8"/>
      <x:c r="D8"/>
      <x:c r="E8"/>
      <x:c r="F8"/>
      <x:c r="G8"/>
      <x:c r="H8"/>
      <x:c r="I8"/>
      <x:c r="J8"/>
      <x:c r="K8"/>
      <x:c r="L8"/>
      <x:c r="M8"/>
      <x:c r="N8"/>
      <x:c r="O8"/>
      <x:c r="P8"/>
      <x:c r="Q8"/>
      <x:c r="R8"/>
      <x:c r="S8"/>
      <x:c r="T8"/>
      <x:c r="U8"/>
    </x:row>
    <x:row r="9">
      <x:c r="A9" s="116" t="str">
        <x:v>Horas recomendadas seleccionadas</x:v>
      </x:c>
      <x:c r="B9" s="117" t="n">
        <x:f>SUMIF(E15:E42,"Sí",H15:H42)</x:f>
        <x:v>0</x:v>
      </x:c>
      <x:c r="C9"/>
      <x:c r="D9"/>
      <x:c r="E9"/>
      <x:c r="F9"/>
      <x:c r="G9"/>
      <x:c r="H9"/>
      <x:c r="I9"/>
      <x:c r="J9"/>
      <x:c r="K9"/>
      <x:c r="L9"/>
      <x:c r="M9"/>
      <x:c r="N9"/>
      <x:c r="O9"/>
      <x:c r="P9"/>
      <x:c r="Q9"/>
      <x:c r="R9"/>
      <x:c r="S9"/>
      <x:c r="T9"/>
      <x:c r="U9"/>
    </x:row>
    <x:row r="10">
      <x:c r="A10" s="116" t="str">
        <x:v>Horas presupuestadas seleccionadas</x:v>
      </x:c>
      <x:c r="B10" s="117" t="n">
        <x:f>SUMIF(E15:E42,"Sí",I15:I42)</x:f>
        <x:v>0</x:v>
      </x:c>
      <x:c r="C10"/>
      <x:c r="D10"/>
      <x:c r="E10"/>
      <x:c r="F10"/>
      <x:c r="G10"/>
      <x:c r="H10"/>
      <x:c r="I10"/>
      <x:c r="J10"/>
      <x:c r="K10"/>
      <x:c r="L10"/>
      <x:c r="M10"/>
      <x:c r="N10"/>
      <x:c r="O10"/>
      <x:c r="P10"/>
      <x:c r="Q10"/>
      <x:c r="R10"/>
      <x:c r="S10"/>
      <x:c r="T10"/>
      <x:c r="U10"/>
    </x:row>
    <x:row r="11">
      <x:c r="A11" s="116" t="str">
        <x:v>Horas dedicadas</x:v>
      </x:c>
      <x:c r="B11" s="117" t="n">
        <x:f>SUM(J15:J42)</x:f>
        <x:v>0</x:v>
      </x:c>
      <x:c r="C11"/>
      <x:c r="D11"/>
      <x:c r="E11"/>
      <x:c r="F11"/>
      <x:c r="G11"/>
      <x:c r="H11"/>
      <x:c r="I11"/>
      <x:c r="J11"/>
      <x:c r="K11"/>
      <x:c r="L11"/>
      <x:c r="M11"/>
      <x:c r="N11"/>
      <x:c r="O11"/>
      <x:c r="P11"/>
      <x:c r="Q11"/>
      <x:c r="R11"/>
      <x:c r="S11"/>
      <x:c r="T11"/>
      <x:c r="U11"/>
    </x:row>
    <x:row r="12">
      <x:c r="A12" s="116" t="str">
        <x:v>Progreso ponderado por AT</x:v>
      </x:c>
      <x:c r="B12" s="118" t="n">
        <x:f>IF(B7=0,0,SUM(Q15:Q42)/B7)</x:f>
        <x:v>0</x:v>
      </x:c>
      <x:c r="C12"/>
      <x:c r="D12"/>
      <x:c r="E12"/>
      <x:c r="F12"/>
      <x:c r="G12"/>
      <x:c r="H12"/>
      <x:c r="I12"/>
      <x:c r="J12"/>
      <x:c r="K12"/>
      <x:c r="L12"/>
      <x:c r="M12"/>
      <x:c r="N12"/>
      <x:c r="O12"/>
      <x:c r="P12"/>
      <x:c r="Q12"/>
      <x:c r="R12"/>
      <x:c r="S12"/>
      <x:c r="T12"/>
      <x:c r="U12"/>
    </x:row>
    <x:row r="13">
      <x:c r="A13"/>
      <x:c r="B13"/>
      <x:c r="C13"/>
      <x:c r="D13"/>
      <x:c r="E13"/>
      <x:c r="F13"/>
      <x:c r="G13"/>
      <x:c r="H13"/>
      <x:c r="I13"/>
      <x:c r="J13"/>
      <x:c r="K13"/>
      <x:c r="L13"/>
      <x:c r="M13"/>
      <x:c r="N13"/>
      <x:c r="O13"/>
      <x:c r="P13"/>
      <x:c r="Q13"/>
      <x:c r="R13"/>
      <x:c r="S13"/>
      <x:c r="T13"/>
      <x:c r="U13"/>
    </x:row>
    <x:row r="14" ht="44" customHeight="1">
      <x:c r="A14" s="100" t="str">
        <x:v>ID</x:v>
      </x:c>
      <x:c r="B14" s="100" t="str">
        <x:v>Especificación / funcionalidad</x:v>
      </x:c>
      <x:c r="C14" s="100" t="str">
        <x:v>Tarea / entregable</x:v>
      </x:c>
      <x:c r="D14" s="100" t="str">
        <x:v>Tipo</x:v>
      </x:c>
      <x:c r="E14" s="100" t="str">
        <x:v>Seleccionada</x:v>
      </x:c>
      <x:c r="F14" s="100" t="str">
        <x:v>Hito recomendado</x:v>
      </x:c>
      <x:c r="G14" s="100" t="str">
        <x:v>Hito elegido</x:v>
      </x:c>
      <x:c r="H14" s="100" t="str">
        <x:v>Horas recomendadas (equipo)</x:v>
      </x:c>
      <x:c r="I14" s="100" t="str">
        <x:v>Horas presupuestadas (equipo)</x:v>
      </x:c>
      <x:c r="J14" s="100" t="str">
        <x:v>Horas dedicadas (equipo)</x:v>
      </x:c>
      <x:c r="K14" s="100" t="str">
        <x:v>AT</x:v>
      </x:c>
      <x:c r="L14" s="100" t="str">
        <x:v>Responsable</x:v>
      </x:c>
      <x:c r="M14" s="100" t="str">
        <x:v>Sprint</x:v>
      </x:c>
      <x:c r="N14" s="100" t="str">
        <x:v>% realizado</x:v>
      </x:c>
      <x:c r="O14" s="100" t="str">
        <x:v>Estado</x:v>
      </x:c>
      <x:c r="P14" s="100" t="str">
        <x:v>AT validados</x:v>
      </x:c>
      <x:c r="Q14" s="100" t="str">
        <x:v>AT progreso</x:v>
      </x:c>
      <x:c r="R14" s="100" t="str">
        <x:v>Criterios de aceptación</x:v>
      </x:c>
      <x:c r="S14" s="100" t="str">
        <x:v>Evidencia esperada</x:v>
      </x:c>
      <x:c r="T14" s="100" t="str">
        <x:v>Dependencias</x:v>
      </x:c>
      <x:c r="U14" s="100" t="str">
        <x:v>Observaciones</x:v>
      </x:c>
    </x:row>
    <x:row r="15">
      <x:c r="A15" s="104" t="str">
        <x:v>NUBE.ARQ.01</x:v>
      </x:c>
      <x:c r="B15" s="104" t="str">
        <x:v>Arquitectura cloud</x:v>
      </x:c>
      <x:c r="C15" s="104" t="str">
        <x:v>Dibujar arquitectura objetivo cloud de AulaFlow</x:v>
      </x:c>
      <x:c r="D15" s="104" t="str">
        <x:v>OPT</x:v>
      </x:c>
      <x:c r="E15" s="107" t="str">
        <x:v>No</x:v>
      </x:c>
      <x:c r="F15" s="104" t="str">
        <x:v>H4</x:v>
      </x:c>
      <x:c r="G15" s="107"/>
      <x:c r="H15" s="104" t="n">
        <x:v>3</x:v>
      </x:c>
      <x:c r="I15" s="107" t="n">
        <x:v>3</x:v>
      </x:c>
      <x:c r="J15" s="107"/>
      <x:c r="K15" s="104" t="n">
        <x:v>2</x:v>
      </x:c>
      <x:c r="L15" s="107"/>
      <x:c r="M15" s="107"/>
      <x:c r="N15" s="108" t="n">
        <x:v>0</x:v>
      </x:c>
      <x:c r="O15" s="107" t="str">
        <x:v>NO CONTRATADA</x:v>
      </x:c>
      <x:c r="P15" s="109" t="n">
        <x:f>IF(AND(E15="Sí",O15="ACEPTADA"),K15,0)</x:f>
        <x:v>0</x:v>
      </x:c>
      <x:c r="Q15" s="109" t="n">
        <x:f>IF(E15="Sí",K15*N15,0)</x:f>
        <x:v>0</x:v>
      </x:c>
      <x:c r="R15" s="104" t="str">
        <x:v>El diagrama identifica red, cómputo, datos, entrada, secretos y observabilidad.</x:v>
      </x:c>
      <x:c r="S15" s="104" t="str">
        <x:v>Diagrama versionado</x:v>
      </x:c>
      <x:c r="T15" s="104" t="str">
        <x:v>Backend desplegable</x:v>
      </x:c>
      <x:c r="U15" s="107" t="str"/>
    </x:row>
    <x:row r="16">
      <x:c r="A16" s="104" t="str">
        <x:v>NUBE.ARQ.02</x:v>
      </x:c>
      <x:c r="B16" s="104" t="str">
        <x:v>Arquitectura cloud</x:v>
      </x:c>
      <x:c r="C16" s="104" t="str">
        <x:v>Definir entornos y estrategia dev/test/prod docente</x:v>
      </x:c>
      <x:c r="D16" s="104" t="str">
        <x:v>OPT</x:v>
      </x:c>
      <x:c r="E16" s="107" t="str">
        <x:v>No</x:v>
      </x:c>
      <x:c r="F16" s="104" t="str">
        <x:v>H4</x:v>
      </x:c>
      <x:c r="G16" s="107"/>
      <x:c r="H16" s="104" t="n">
        <x:v>3</x:v>
      </x:c>
      <x:c r="I16" s="107" t="n">
        <x:v>3</x:v>
      </x:c>
      <x:c r="J16" s="107"/>
      <x:c r="K16" s="104" t="n">
        <x:v>2</x:v>
      </x:c>
      <x:c r="L16" s="107"/>
      <x:c r="M16" s="107"/>
      <x:c r="N16" s="108" t="n">
        <x:v>0</x:v>
      </x:c>
      <x:c r="O16" s="107" t="str">
        <x:v>NO CONTRATADA</x:v>
      </x:c>
      <x:c r="P16" s="109" t="n">
        <x:f>IF(AND(E16="Sí",O16="ACEPTADA"),K16,0)</x:f>
        <x:v>0</x:v>
      </x:c>
      <x:c r="Q16" s="109" t="n">
        <x:f>IF(E16="Sí",K16*N16,0)</x:f>
        <x:v>0</x:v>
      </x:c>
      <x:c r="R16" s="104" t="str">
        <x:v>Cada entorno tiene propósito, diferencias y límites documentados.</x:v>
      </x:c>
      <x:c r="S16" s="104" t="str">
        <x:v>ADR/runbook</x:v>
      </x:c>
      <x:c r="T16" s="104" t="str">
        <x:v>NUBE.ARQ.01</x:v>
      </x:c>
      <x:c r="U16" s="107" t="str"/>
    </x:row>
    <x:row r="17">
      <x:c r="A17" s="104" t="str">
        <x:v>NUBE.ARQ.03</x:v>
      </x:c>
      <x:c r="B17" s="104" t="str">
        <x:v>Arquitectura cloud</x:v>
      </x:c>
      <x:c r="C17" s="104" t="str">
        <x:v>Estimar coste mensual y límites de uso</x:v>
      </x:c>
      <x:c r="D17" s="104" t="str">
        <x:v>OPT</x:v>
      </x:c>
      <x:c r="E17" s="107" t="str">
        <x:v>No</x:v>
      </x:c>
      <x:c r="F17" s="104" t="str">
        <x:v>H4</x:v>
      </x:c>
      <x:c r="G17" s="107"/>
      <x:c r="H17" s="104" t="n">
        <x:v>3</x:v>
      </x:c>
      <x:c r="I17" s="107" t="n">
        <x:v>3</x:v>
      </x:c>
      <x:c r="J17" s="107"/>
      <x:c r="K17" s="104" t="n">
        <x:v>2</x:v>
      </x:c>
      <x:c r="L17" s="107"/>
      <x:c r="M17" s="107"/>
      <x:c r="N17" s="108" t="n">
        <x:v>0</x:v>
      </x:c>
      <x:c r="O17" s="107" t="str">
        <x:v>NO CONTRATADA</x:v>
      </x:c>
      <x:c r="P17" s="109" t="n">
        <x:f>IF(AND(E17="Sí",O17="ACEPTADA"),K17,0)</x:f>
        <x:v>0</x:v>
      </x:c>
      <x:c r="Q17" s="109" t="n">
        <x:f>IF(E17="Sí",K17*N17,0)</x:f>
        <x:v>0</x:v>
      </x:c>
      <x:c r="R17" s="104" t="str">
        <x:v>Existe estimación reproducible y se identifican servicios que dominan el coste.</x:v>
      </x:c>
      <x:c r="S17" s="104" t="str">
        <x:v>Hoja de costes</x:v>
      </x:c>
      <x:c r="T17" s="104" t="str">
        <x:v>NUBE.ARQ.01</x:v>
      </x:c>
      <x:c r="U17" s="107" t="str">
        <x:v>Los datos de coste pueden reutilizarse en IPE II; Nube valida la estimación técnica de infraestructura y IPE II el análisis económico/TCO.</x:v>
      </x:c>
    </x:row>
    <x:row r="18">
      <x:c r="A18" s="104" t="str">
        <x:v>NUBE.IAM.01</x:v>
      </x:c>
      <x:c r="B18" s="104" t="str">
        <x:v>IAM y acceso</x:v>
      </x:c>
      <x:c r="C18" s="104" t="str">
        <x:v>Crear identidad/rol de despliegue con mínimo privilegio</x:v>
      </x:c>
      <x:c r="D18" s="104" t="str">
        <x:v>OPT</x:v>
      </x:c>
      <x:c r="E18" s="107" t="str">
        <x:v>No</x:v>
      </x:c>
      <x:c r="F18" s="104" t="str">
        <x:v>H4</x:v>
      </x:c>
      <x:c r="G18" s="107"/>
      <x:c r="H18" s="104" t="n">
        <x:v>4</x:v>
      </x:c>
      <x:c r="I18" s="107" t="n">
        <x:v>4</x:v>
      </x:c>
      <x:c r="J18" s="107"/>
      <x:c r="K18" s="104" t="n">
        <x:v>3</x:v>
      </x:c>
      <x:c r="L18" s="107"/>
      <x:c r="M18" s="107"/>
      <x:c r="N18" s="108" t="n">
        <x:v>0</x:v>
      </x:c>
      <x:c r="O18" s="107" t="str">
        <x:v>NO CONTRATADA</x:v>
      </x:c>
      <x:c r="P18" s="109" t="n">
        <x:f>IF(AND(E18="Sí",O18="ACEPTADA"),K18,0)</x:f>
        <x:v>0</x:v>
      </x:c>
      <x:c r="Q18" s="109" t="n">
        <x:f>IF(E18="Sí",K18*N18,0)</x:f>
        <x:v>0</x:v>
      </x:c>
      <x:c r="R18" s="104" t="str">
        <x:v>La identidad no usa permisos globales innecesarios y su finalidad está documentada.</x:v>
      </x:c>
      <x:c r="S18" s="104" t="str">
        <x:v>Política + evidencia</x:v>
      </x:c>
      <x:c r="T18" s="104" t="str">
        <x:v>Proveedor cloud</x:v>
      </x:c>
      <x:c r="U18" s="107" t="str"/>
    </x:row>
    <x:row r="19">
      <x:c r="A19" s="104" t="str">
        <x:v>NUBE.IAM.02</x:v>
      </x:c>
      <x:c r="B19" s="104" t="str">
        <x:v>IAM y acceso</x:v>
      </x:c>
      <x:c r="C19" s="104" t="str">
        <x:v>Separar identidad humana y de servicio</x:v>
      </x:c>
      <x:c r="D19" s="104" t="str">
        <x:v>ADV</x:v>
      </x:c>
      <x:c r="E19" s="107" t="str">
        <x:v>No</x:v>
      </x:c>
      <x:c r="F19" s="104" t="str">
        <x:v>H4</x:v>
      </x:c>
      <x:c r="G19" s="107"/>
      <x:c r="H19" s="104" t="n">
        <x:v>4</x:v>
      </x:c>
      <x:c r="I19" s="107" t="n">
        <x:v>4</x:v>
      </x:c>
      <x:c r="J19" s="107"/>
      <x:c r="K19" s="104" t="n">
        <x:v>2</x:v>
      </x:c>
      <x:c r="L19" s="107"/>
      <x:c r="M19" s="107"/>
      <x:c r="N19" s="108" t="n">
        <x:v>0</x:v>
      </x:c>
      <x:c r="O19" s="107" t="str">
        <x:v>NO CONTRATADA</x:v>
      </x:c>
      <x:c r="P19" s="109" t="n">
        <x:f>IF(AND(E19="Sí",O19="ACEPTADA"),K19,0)</x:f>
        <x:v>0</x:v>
      </x:c>
      <x:c r="Q19" s="109" t="n">
        <x:f>IF(E19="Sí",K19*N19,0)</x:f>
        <x:v>0</x:v>
      </x:c>
      <x:c r="R19" s="104" t="str">
        <x:v>Las credenciales de personas no se reutilizan como credenciales de aplicación.</x:v>
      </x:c>
      <x:c r="S19" s="104" t="str">
        <x:v>Diagrama + configuración</x:v>
      </x:c>
      <x:c r="T19" s="104" t="str">
        <x:v>NUBE.IAM.01</x:v>
      </x:c>
      <x:c r="U19" s="107" t="str"/>
    </x:row>
    <x:row r="20">
      <x:c r="A20" s="104" t="str">
        <x:v>NUBE.IAM.03</x:v>
      </x:c>
      <x:c r="B20" s="104" t="str">
        <x:v>IAM y acceso</x:v>
      </x:c>
      <x:c r="C20" s="104" t="str">
        <x:v>Configurar acceso al registry/artefactos</x:v>
      </x:c>
      <x:c r="D20" s="104" t="str">
        <x:v>OPT</x:v>
      </x:c>
      <x:c r="E20" s="107" t="str">
        <x:v>No</x:v>
      </x:c>
      <x:c r="F20" s="104" t="str">
        <x:v>H4</x:v>
      </x:c>
      <x:c r="G20" s="107"/>
      <x:c r="H20" s="104" t="n">
        <x:v>3</x:v>
      </x:c>
      <x:c r="I20" s="107" t="n">
        <x:v>3</x:v>
      </x:c>
      <x:c r="J20" s="107"/>
      <x:c r="K20" s="104" t="n">
        <x:v>2</x:v>
      </x:c>
      <x:c r="L20" s="107"/>
      <x:c r="M20" s="107"/>
      <x:c r="N20" s="108" t="n">
        <x:v>0</x:v>
      </x:c>
      <x:c r="O20" s="107" t="str">
        <x:v>NO CONTRATADA</x:v>
      </x:c>
      <x:c r="P20" s="109" t="n">
        <x:f>IF(AND(E20="Sí",O20="ACEPTADA"),K20,0)</x:f>
        <x:v>0</x:v>
      </x:c>
      <x:c r="Q20" s="109" t="n">
        <x:f>IF(E20="Sí",K20*N20,0)</x:f>
        <x:v>0</x:v>
      </x:c>
      <x:c r="R20" s="104" t="str">
        <x:v>Solo identidades autorizadas pueden publicar/leer artefactos según política.</x:v>
      </x:c>
      <x:c r="S20" s="104" t="str">
        <x:v>Test acceso</x:v>
      </x:c>
      <x:c r="T20" s="104" t="str">
        <x:v>NUBE.IAM.01</x:v>
      </x:c>
      <x:c r="U20" s="107" t="str"/>
    </x:row>
    <x:row r="21">
      <x:c r="A21" s="104" t="str">
        <x:v>NUBE.NET.01</x:v>
      </x:c>
      <x:c r="B21" s="104" t="str">
        <x:v>Red y entrada</x:v>
      </x:c>
      <x:c r="C21" s="104" t="str">
        <x:v>Definir red/subredes o segmentación equivalente</x:v>
      </x:c>
      <x:c r="D21" s="104" t="str">
        <x:v>OPT</x:v>
      </x:c>
      <x:c r="E21" s="107" t="str">
        <x:v>No</x:v>
      </x:c>
      <x:c r="F21" s="104" t="str">
        <x:v>H4</x:v>
      </x:c>
      <x:c r="G21" s="107"/>
      <x:c r="H21" s="104" t="n">
        <x:v>4</x:v>
      </x:c>
      <x:c r="I21" s="107" t="n">
        <x:v>4</x:v>
      </x:c>
      <x:c r="J21" s="107"/>
      <x:c r="K21" s="104" t="n">
        <x:v>2</x:v>
      </x:c>
      <x:c r="L21" s="107"/>
      <x:c r="M21" s="107"/>
      <x:c r="N21" s="108" t="n">
        <x:v>0</x:v>
      </x:c>
      <x:c r="O21" s="107" t="str">
        <x:v>NO CONTRATADA</x:v>
      </x:c>
      <x:c r="P21" s="109" t="n">
        <x:f>IF(AND(E21="Sí",O21="ACEPTADA"),K21,0)</x:f>
        <x:v>0</x:v>
      </x:c>
      <x:c r="Q21" s="109" t="n">
        <x:f>IF(E21="Sí",K21*N21,0)</x:f>
        <x:v>0</x:v>
      </x:c>
      <x:c r="R21" s="104" t="str">
        <x:v>La arquitectura distingue exposición pública y recursos internos cuando proceda.</x:v>
      </x:c>
      <x:c r="S21" s="104" t="str">
        <x:v>Diagrama + config</x:v>
      </x:c>
      <x:c r="T21" s="104" t="str">
        <x:v>NUBE.ARQ.01</x:v>
      </x:c>
      <x:c r="U21" s="107" t="str"/>
    </x:row>
    <x:row r="22">
      <x:c r="A22" s="104" t="str">
        <x:v>NUBE.NET.02</x:v>
      </x:c>
      <x:c r="B22" s="104" t="str">
        <x:v>Red y entrada</x:v>
      </x:c>
      <x:c r="C22" s="104" t="str">
        <x:v>Publicar servicio mediante endpoint estable</x:v>
      </x:c>
      <x:c r="D22" s="104" t="str">
        <x:v>OPT</x:v>
      </x:c>
      <x:c r="E22" s="107" t="str">
        <x:v>No</x:v>
      </x:c>
      <x:c r="F22" s="104" t="str">
        <x:v>H4</x:v>
      </x:c>
      <x:c r="G22" s="107"/>
      <x:c r="H22" s="104" t="n">
        <x:v>4</x:v>
      </x:c>
      <x:c r="I22" s="107" t="n">
        <x:v>4</x:v>
      </x:c>
      <x:c r="J22" s="107"/>
      <x:c r="K22" s="104" t="n">
        <x:v>2</x:v>
      </x:c>
      <x:c r="L22" s="107"/>
      <x:c r="M22" s="107"/>
      <x:c r="N22" s="108" t="n">
        <x:v>0</x:v>
      </x:c>
      <x:c r="O22" s="107" t="str">
        <x:v>NO CONTRATADA</x:v>
      </x:c>
      <x:c r="P22" s="109" t="n">
        <x:f>IF(AND(E22="Sí",O22="ACEPTADA"),K22,0)</x:f>
        <x:v>0</x:v>
      </x:c>
      <x:c r="Q22" s="109" t="n">
        <x:f>IF(E22="Sí",K22*N22,0)</x:f>
        <x:v>0</x:v>
      </x:c>
      <x:c r="R22" s="104" t="str">
        <x:v>El backend es accesible desde clientes mediante URL documentada y health responde.</x:v>
      </x:c>
      <x:c r="S22" s="104" t="str">
        <x:v>Demo + health</x:v>
      </x:c>
      <x:c r="T22" s="104" t="str">
        <x:v>NUBE.NET.01</x:v>
      </x:c>
      <x:c r="U22" s="107" t="str"/>
    </x:row>
    <x:row r="23">
      <x:c r="A23" s="104" t="str">
        <x:v>NUBE.NET.03</x:v>
      </x:c>
      <x:c r="B23" s="104" t="str">
        <x:v>Red y entrada</x:v>
      </x:c>
      <x:c r="C23" s="104" t="str">
        <x:v>Configurar HTTPS/TLS</x:v>
      </x:c>
      <x:c r="D23" s="104" t="str">
        <x:v>OPT</x:v>
      </x:c>
      <x:c r="E23" s="107" t="str">
        <x:v>No</x:v>
      </x:c>
      <x:c r="F23" s="104" t="str">
        <x:v>H4</x:v>
      </x:c>
      <x:c r="G23" s="107"/>
      <x:c r="H23" s="104" t="n">
        <x:v>4</x:v>
      </x:c>
      <x:c r="I23" s="107" t="n">
        <x:v>4</x:v>
      </x:c>
      <x:c r="J23" s="107"/>
      <x:c r="K23" s="104" t="n">
        <x:v>3</x:v>
      </x:c>
      <x:c r="L23" s="107"/>
      <x:c r="M23" s="107"/>
      <x:c r="N23" s="108" t="n">
        <x:v>0</x:v>
      </x:c>
      <x:c r="O23" s="107" t="str">
        <x:v>NO CONTRATADA</x:v>
      </x:c>
      <x:c r="P23" s="109" t="n">
        <x:f>IF(AND(E23="Sí",O23="ACEPTADA"),K23,0)</x:f>
        <x:v>0</x:v>
      </x:c>
      <x:c r="Q23" s="109" t="n">
        <x:f>IF(E23="Sí",K23*N23,0)</x:f>
        <x:v>0</x:v>
      </x:c>
      <x:c r="R23" s="104" t="str">
        <x:v>El servicio usa HTTPS válido en el entorno objetivo y no obliga a desactivar validación.</x:v>
      </x:c>
      <x:c r="S23" s="104" t="str">
        <x:v>Prueba curl/cliente</x:v>
      </x:c>
      <x:c r="T23" s="104" t="str">
        <x:v>NUBE.NET.02</x:v>
      </x:c>
      <x:c r="U23" s="107" t="str"/>
    </x:row>
    <x:row r="24">
      <x:c r="A24" s="104" t="str">
        <x:v>NUBE.NET.04</x:v>
      </x:c>
      <x:c r="B24" s="104" t="str">
        <x:v>Red y entrada</x:v>
      </x:c>
      <x:c r="C24" s="104" t="str">
        <x:v>Restringir puertos/reglas de entrada innecesarias</x:v>
      </x:c>
      <x:c r="D24" s="104" t="str">
        <x:v>ADV</x:v>
      </x:c>
      <x:c r="E24" s="107" t="str">
        <x:v>No</x:v>
      </x:c>
      <x:c r="F24" s="104" t="str">
        <x:v>H4</x:v>
      </x:c>
      <x:c r="G24" s="107"/>
      <x:c r="H24" s="104" t="n">
        <x:v>3</x:v>
      </x:c>
      <x:c r="I24" s="107" t="n">
        <x:v>3</x:v>
      </x:c>
      <x:c r="J24" s="107"/>
      <x:c r="K24" s="104" t="n">
        <x:v>2</x:v>
      </x:c>
      <x:c r="L24" s="107"/>
      <x:c r="M24" s="107"/>
      <x:c r="N24" s="108" t="n">
        <x:v>0</x:v>
      </x:c>
      <x:c r="O24" s="107" t="str">
        <x:v>NO CONTRATADA</x:v>
      </x:c>
      <x:c r="P24" s="109" t="n">
        <x:f>IF(AND(E24="Sí",O24="ACEPTADA"),K24,0)</x:f>
        <x:v>0</x:v>
      </x:c>
      <x:c r="Q24" s="109" t="n">
        <x:f>IF(E24="Sí",K24*N24,0)</x:f>
        <x:v>0</x:v>
      </x:c>
      <x:c r="R24" s="104" t="str">
        <x:v>Solo quedan expuestos los servicios requeridos y la configuración se documenta.</x:v>
      </x:c>
      <x:c r="S24" s="104" t="str">
        <x:v>Captura/config + test</x:v>
      </x:c>
      <x:c r="T24" s="104" t="str">
        <x:v>NUBE.NET.01</x:v>
      </x:c>
      <x:c r="U24" s="107" t="str"/>
    </x:row>
    <x:row r="25">
      <x:c r="A25" s="104" t="str">
        <x:v>NUBE.REG.01</x:v>
      </x:c>
      <x:c r="B25" s="104" t="str">
        <x:v>Registry y artefactos</x:v>
      </x:c>
      <x:c r="C25" s="104" t="str">
        <x:v>Construir imagen OCI reproducible del backend</x:v>
      </x:c>
      <x:c r="D25" s="104" t="str">
        <x:v>OPT</x:v>
      </x:c>
      <x:c r="E25" s="107" t="str">
        <x:v>No</x:v>
      </x:c>
      <x:c r="F25" s="104" t="str">
        <x:v>H4</x:v>
      </x:c>
      <x:c r="G25" s="107"/>
      <x:c r="H25" s="104" t="n">
        <x:v>4</x:v>
      </x:c>
      <x:c r="I25" s="107" t="n">
        <x:v>4</x:v>
      </x:c>
      <x:c r="J25" s="107"/>
      <x:c r="K25" s="104" t="n">
        <x:v>3</x:v>
      </x:c>
      <x:c r="L25" s="107"/>
      <x:c r="M25" s="107"/>
      <x:c r="N25" s="108" t="n">
        <x:v>0</x:v>
      </x:c>
      <x:c r="O25" s="107" t="str">
        <x:v>NO CONTRATADA</x:v>
      </x:c>
      <x:c r="P25" s="109" t="n">
        <x:f>IF(AND(E25="Sí",O25="ACEPTADA"),K25,0)</x:f>
        <x:v>0</x:v>
      </x:c>
      <x:c r="Q25" s="109" t="n">
        <x:f>IF(E25="Sí",K25*N25,0)</x:f>
        <x:v>0</x:v>
      </x:c>
      <x:c r="R25" s="104" t="str">
        <x:v>La imagen se construye desde commit identificado y arranca con configuración externa.</x:v>
      </x:c>
      <x:c r="S25" s="104" t="str">
        <x:v>Dockerfile/Containerfile + build</x:v>
      </x:c>
      <x:c r="T25" s="104" t="str">
        <x:v>G4/backend</x:v>
      </x:c>
      <x:c r="U25" s="107" t="str"/>
    </x:row>
    <x:row r="26">
      <x:c r="A26" s="104" t="str">
        <x:v>NUBE.REG.02</x:v>
      </x:c>
      <x:c r="B26" s="104" t="str">
        <x:v>Registry y artefactos</x:v>
      </x:c>
      <x:c r="C26" s="104" t="str">
        <x:v>Etiquetar imagen con versión/commit</x:v>
      </x:c>
      <x:c r="D26" s="104" t="str">
        <x:v>OPT</x:v>
      </x:c>
      <x:c r="E26" s="107" t="str">
        <x:v>No</x:v>
      </x:c>
      <x:c r="F26" s="104" t="str">
        <x:v>H4</x:v>
      </x:c>
      <x:c r="G26" s="107"/>
      <x:c r="H26" s="104" t="n">
        <x:v>2</x:v>
      </x:c>
      <x:c r="I26" s="107" t="n">
        <x:v>2</x:v>
      </x:c>
      <x:c r="J26" s="107"/>
      <x:c r="K26" s="104" t="n">
        <x:v>1</x:v>
      </x:c>
      <x:c r="L26" s="107"/>
      <x:c r="M26" s="107"/>
      <x:c r="N26" s="108" t="n">
        <x:v>0</x:v>
      </x:c>
      <x:c r="O26" s="107" t="str">
        <x:v>NO CONTRATADA</x:v>
      </x:c>
      <x:c r="P26" s="109" t="n">
        <x:f>IF(AND(E26="Sí",O26="ACEPTADA"),K26,0)</x:f>
        <x:v>0</x:v>
      </x:c>
      <x:c r="Q26" s="109" t="n">
        <x:f>IF(E26="Sí",K26*N26,0)</x:f>
        <x:v>0</x:v>
      </x:c>
      <x:c r="R26" s="104" t="str">
        <x:v>El artefacto publicado se puede relacionar inequívocamente con un commit/tag.</x:v>
      </x:c>
      <x:c r="S26" s="104" t="str">
        <x:v>Registry + tag</x:v>
      </x:c>
      <x:c r="T26" s="104" t="str">
        <x:v>NUBE.REG.01</x:v>
      </x:c>
      <x:c r="U26" s="107" t="str"/>
    </x:row>
    <x:row r="27">
      <x:c r="A27" s="104" t="str">
        <x:v>NUBE.REG.03</x:v>
      </x:c>
      <x:c r="B27" s="104" t="str">
        <x:v>Registry y artefactos</x:v>
      </x:c>
      <x:c r="C27" s="104" t="str">
        <x:v>Publicar imagen en registry</x:v>
      </x:c>
      <x:c r="D27" s="104" t="str">
        <x:v>OPT</x:v>
      </x:c>
      <x:c r="E27" s="107" t="str">
        <x:v>No</x:v>
      </x:c>
      <x:c r="F27" s="104" t="str">
        <x:v>H4</x:v>
      </x:c>
      <x:c r="G27" s="107"/>
      <x:c r="H27" s="104" t="n">
        <x:v>3</x:v>
      </x:c>
      <x:c r="I27" s="107" t="n">
        <x:v>3</x:v>
      </x:c>
      <x:c r="J27" s="107"/>
      <x:c r="K27" s="104" t="n">
        <x:v>2</x:v>
      </x:c>
      <x:c r="L27" s="107"/>
      <x:c r="M27" s="107"/>
      <x:c r="N27" s="108" t="n">
        <x:v>0</x:v>
      </x:c>
      <x:c r="O27" s="107" t="str">
        <x:v>NO CONTRATADA</x:v>
      </x:c>
      <x:c r="P27" s="109" t="n">
        <x:f>IF(AND(E27="Sí",O27="ACEPTADA"),K27,0)</x:f>
        <x:v>0</x:v>
      </x:c>
      <x:c r="Q27" s="109" t="n">
        <x:f>IF(E27="Sí",K27*N27,0)</x:f>
        <x:v>0</x:v>
      </x:c>
      <x:c r="R27" s="104" t="str">
        <x:v>La imagen puede descargarse y ejecutarse desde el registry con permisos correctos.</x:v>
      </x:c>
      <x:c r="S27" s="104" t="str">
        <x:v>Push/pull + run</x:v>
      </x:c>
      <x:c r="T27" s="104" t="str">
        <x:v>NUBE.REG.02</x:v>
      </x:c>
      <x:c r="U27" s="107" t="str"/>
    </x:row>
    <x:row r="28">
      <x:c r="A28" s="104" t="str">
        <x:v>NUBE.DEP.01</x:v>
      </x:c>
      <x:c r="B28" s="104" t="str">
        <x:v>Despliegue</x:v>
      </x:c>
      <x:c r="C28" s="104" t="str">
        <x:v>Automatizar despliegue del backend en cloud</x:v>
      </x:c>
      <x:c r="D28" s="104" t="str">
        <x:v>OPT</x:v>
      </x:c>
      <x:c r="E28" s="107" t="str">
        <x:v>No</x:v>
      </x:c>
      <x:c r="F28" s="104" t="str">
        <x:v>H4</x:v>
      </x:c>
      <x:c r="G28" s="107"/>
      <x:c r="H28" s="104" t="n">
        <x:v>5</x:v>
      </x:c>
      <x:c r="I28" s="107" t="n">
        <x:v>5</x:v>
      </x:c>
      <x:c r="J28" s="107"/>
      <x:c r="K28" s="104" t="n">
        <x:v>3</x:v>
      </x:c>
      <x:c r="L28" s="107"/>
      <x:c r="M28" s="107"/>
      <x:c r="N28" s="108" t="n">
        <x:v>0</x:v>
      </x:c>
      <x:c r="O28" s="107" t="str">
        <x:v>NO CONTRATADA</x:v>
      </x:c>
      <x:c r="P28" s="109" t="n">
        <x:f>IF(AND(E28="Sí",O28="ACEPTADA"),K28,0)</x:f>
        <x:v>0</x:v>
      </x:c>
      <x:c r="Q28" s="109" t="n">
        <x:f>IF(E28="Sí",K28*N28,0)</x:f>
        <x:v>0</x:v>
      </x:c>
      <x:c r="R28" s="104" t="str">
        <x:v>El despliegue se repite desde instrucciones/script sin pasos manuales ocultos.</x:v>
      </x:c>
      <x:c r="S28" s="104" t="str">
        <x:v>Script/pipeline + demo</x:v>
      </x:c>
      <x:c r="T28" s="104" t="str">
        <x:v>NUBE.REG.03</x:v>
      </x:c>
      <x:c r="U28" s="107" t="str"/>
    </x:row>
    <x:row r="29">
      <x:c r="A29" s="104" t="str">
        <x:v>NUBE.DEP.02</x:v>
      </x:c>
      <x:c r="B29" s="104" t="str">
        <x:v>Despliegue</x:v>
      </x:c>
      <x:c r="C29" s="104" t="str">
        <x:v>Configurar persistencia/volumen/servicio de datos</x:v>
      </x:c>
      <x:c r="D29" s="104" t="str">
        <x:v>OPT</x:v>
      </x:c>
      <x:c r="E29" s="107" t="str">
        <x:v>No</x:v>
      </x:c>
      <x:c r="F29" s="104" t="str">
        <x:v>H4</x:v>
      </x:c>
      <x:c r="G29" s="107"/>
      <x:c r="H29" s="104" t="n">
        <x:v>5</x:v>
      </x:c>
      <x:c r="I29" s="107" t="n">
        <x:v>5</x:v>
      </x:c>
      <x:c r="J29" s="107"/>
      <x:c r="K29" s="104" t="n">
        <x:v>3</x:v>
      </x:c>
      <x:c r="L29" s="107"/>
      <x:c r="M29" s="107"/>
      <x:c r="N29" s="108" t="n">
        <x:v>0</x:v>
      </x:c>
      <x:c r="O29" s="107" t="str">
        <x:v>NO CONTRATADA</x:v>
      </x:c>
      <x:c r="P29" s="109" t="n">
        <x:f>IF(AND(E29="Sí",O29="ACEPTADA"),K29,0)</x:f>
        <x:v>0</x:v>
      </x:c>
      <x:c r="Q29" s="109" t="n">
        <x:f>IF(E29="Sí",K29*N29,0)</x:f>
        <x:v>0</x:v>
      </x:c>
      <x:c r="R29" s="104" t="str">
        <x:v>Recrear el cómputo no destruye datos contratados y la conexión usa configuración externa.</x:v>
      </x:c>
      <x:c r="S29" s="104" t="str">
        <x:v>Prueba recreación</x:v>
      </x:c>
      <x:c r="T29" s="104" t="str">
        <x:v>AD persistencia</x:v>
      </x:c>
      <x:c r="U29" s="107" t="str"/>
    </x:row>
    <x:row r="30">
      <x:c r="A30" s="104" t="str">
        <x:v>NUBE.DEP.03</x:v>
      </x:c>
      <x:c r="B30" s="104" t="str">
        <x:v>Despliegue</x:v>
      </x:c>
      <x:c r="C30" s="104" t="str">
        <x:v>Ejecutar migraciones de datos en despliegue</x:v>
      </x:c>
      <x:c r="D30" s="104" t="str">
        <x:v>ADV</x:v>
      </x:c>
      <x:c r="E30" s="107" t="str">
        <x:v>No</x:v>
      </x:c>
      <x:c r="F30" s="104" t="str">
        <x:v>H4</x:v>
      </x:c>
      <x:c r="G30" s="107"/>
      <x:c r="H30" s="104" t="n">
        <x:v>4</x:v>
      </x:c>
      <x:c r="I30" s="107" t="n">
        <x:v>4</x:v>
      </x:c>
      <x:c r="J30" s="107"/>
      <x:c r="K30" s="104" t="n">
        <x:v>2</x:v>
      </x:c>
      <x:c r="L30" s="107"/>
      <x:c r="M30" s="107"/>
      <x:c r="N30" s="108" t="n">
        <x:v>0</x:v>
      </x:c>
      <x:c r="O30" s="107" t="str">
        <x:v>NO CONTRATADA</x:v>
      </x:c>
      <x:c r="P30" s="109" t="n">
        <x:f>IF(AND(E30="Sí",O30="ACEPTADA"),K30,0)</x:f>
        <x:v>0</x:v>
      </x:c>
      <x:c r="Q30" s="109" t="n">
        <x:f>IF(E30="Sí",K30*N30,0)</x:f>
        <x:v>0</x:v>
      </x:c>
      <x:c r="R30" s="104" t="str">
        <x:v>Las migraciones se aplican de forma controlada y un fallo queda visible.</x:v>
      </x:c>
      <x:c r="S30" s="104" t="str">
        <x:v>Logs + test</x:v>
      </x:c>
      <x:c r="T30" s="104" t="str">
        <x:v>NUBE.DEP.01; AD migraciones</x:v>
      </x:c>
      <x:c r="U30" s="107" t="str"/>
    </x:row>
    <x:row r="31">
      <x:c r="A31" s="104" t="str">
        <x:v>NUBE.SEC.01</x:v>
      </x:c>
      <x:c r="B31" s="104" t="str">
        <x:v>Secretos y configuración</x:v>
      </x:c>
      <x:c r="C31" s="104" t="str">
        <x:v>Externalizar secretos de aplicación</x:v>
      </x:c>
      <x:c r="D31" s="104" t="str">
        <x:v>OPT</x:v>
      </x:c>
      <x:c r="E31" s="107" t="str">
        <x:v>No</x:v>
      </x:c>
      <x:c r="F31" s="104" t="str">
        <x:v>H4</x:v>
      </x:c>
      <x:c r="G31" s="107"/>
      <x:c r="H31" s="104" t="n">
        <x:v>3</x:v>
      </x:c>
      <x:c r="I31" s="107" t="n">
        <x:v>3</x:v>
      </x:c>
      <x:c r="J31" s="107"/>
      <x:c r="K31" s="104" t="n">
        <x:v>2</x:v>
      </x:c>
      <x:c r="L31" s="107"/>
      <x:c r="M31" s="107"/>
      <x:c r="N31" s="108" t="n">
        <x:v>0</x:v>
      </x:c>
      <x:c r="O31" s="107" t="str">
        <x:v>NO CONTRATADA</x:v>
      </x:c>
      <x:c r="P31" s="109" t="n">
        <x:f>IF(AND(E31="Sí",O31="ACEPTADA"),K31,0)</x:f>
        <x:v>0</x:v>
      </x:c>
      <x:c r="Q31" s="109" t="n">
        <x:f>IF(E31="Sí",K31*N31,0)</x:f>
        <x:v>0</x:v>
      </x:c>
      <x:c r="R31" s="104" t="str">
        <x:v>Ningún secreto real aparece en repo, imagen ni logs de pipeline.</x:v>
      </x:c>
      <x:c r="S31" s="104" t="str">
        <x:v>Revisión + configuración</x:v>
      </x:c>
      <x:c r="T31" s="104" t="str">
        <x:v>G5</x:v>
      </x:c>
      <x:c r="U31" s="107" t="str"/>
    </x:row>
    <x:row r="32">
      <x:c r="A32" s="104" t="str">
        <x:v>NUBE.SEC.02</x:v>
      </x:c>
      <x:c r="B32" s="104" t="str">
        <x:v>Secretos y configuración</x:v>
      </x:c>
      <x:c r="C32" s="104" t="str">
        <x:v>Definir configuración por entorno</x:v>
      </x:c>
      <x:c r="D32" s="104" t="str">
        <x:v>OPT</x:v>
      </x:c>
      <x:c r="E32" s="107" t="str">
        <x:v>No</x:v>
      </x:c>
      <x:c r="F32" s="104" t="str">
        <x:v>H4</x:v>
      </x:c>
      <x:c r="G32" s="107"/>
      <x:c r="H32" s="104" t="n">
        <x:v>3</x:v>
      </x:c>
      <x:c r="I32" s="107" t="n">
        <x:v>3</x:v>
      </x:c>
      <x:c r="J32" s="107"/>
      <x:c r="K32" s="104" t="n">
        <x:v>2</x:v>
      </x:c>
      <x:c r="L32" s="107"/>
      <x:c r="M32" s="107"/>
      <x:c r="N32" s="108" t="n">
        <x:v>0</x:v>
      </x:c>
      <x:c r="O32" s="107" t="str">
        <x:v>NO CONTRATADA</x:v>
      </x:c>
      <x:c r="P32" s="109" t="n">
        <x:f>IF(AND(E32="Sí",O32="ACEPTADA"),K32,0)</x:f>
        <x:v>0</x:v>
      </x:c>
      <x:c r="Q32" s="109" t="n">
        <x:f>IF(E32="Sí",K32*N32,0)</x:f>
        <x:v>0</x:v>
      </x:c>
      <x:c r="R32" s="104" t="str">
        <x:v>Cambiar entorno no exige recompilar ni editar código fuente.</x:v>
      </x:c>
      <x:c r="S32" s="104" t="str">
        <x:v>Runbook + demo</x:v>
      </x:c>
      <x:c r="T32" s="104" t="str">
        <x:v>NUBE.SEC.01</x:v>
      </x:c>
      <x:c r="U32" s="107" t="str"/>
    </x:row>
    <x:row r="33">
      <x:c r="A33" s="104" t="str">
        <x:v>NUBE.SEC.03</x:v>
      </x:c>
      <x:c r="B33" s="104" t="str">
        <x:v>Secretos y configuración</x:v>
      </x:c>
      <x:c r="C33" s="104" t="str">
        <x:v>Rotar un secreto/credencial de prueba</x:v>
      </x:c>
      <x:c r="D33" s="104" t="str">
        <x:v>ADV</x:v>
      </x:c>
      <x:c r="E33" s="107" t="str">
        <x:v>No</x:v>
      </x:c>
      <x:c r="F33" s="104" t="str">
        <x:v>H5</x:v>
      </x:c>
      <x:c r="G33" s="107"/>
      <x:c r="H33" s="104" t="n">
        <x:v>3</x:v>
      </x:c>
      <x:c r="I33" s="107" t="n">
        <x:v>3</x:v>
      </x:c>
      <x:c r="J33" s="107"/>
      <x:c r="K33" s="104" t="n">
        <x:v>2</x:v>
      </x:c>
      <x:c r="L33" s="107"/>
      <x:c r="M33" s="107"/>
      <x:c r="N33" s="108" t="n">
        <x:v>0</x:v>
      </x:c>
      <x:c r="O33" s="107" t="str">
        <x:v>NO CONTRATADA</x:v>
      </x:c>
      <x:c r="P33" s="109" t="n">
        <x:f>IF(AND(E33="Sí",O33="ACEPTADA"),K33,0)</x:f>
        <x:v>0</x:v>
      </x:c>
      <x:c r="Q33" s="109" t="n">
        <x:f>IF(E33="Sí",K33*N33,0)</x:f>
        <x:v>0</x:v>
      </x:c>
      <x:c r="R33" s="104" t="str">
        <x:v>Se demuestra rotación sin publicar el secreto y sin rehacer toda la infraestructura.</x:v>
      </x:c>
      <x:c r="S33" s="104" t="str">
        <x:v>Evidencia de rotación</x:v>
      </x:c>
      <x:c r="T33" s="104" t="str">
        <x:v>NUBE.SEC.01</x:v>
      </x:c>
      <x:c r="U33" s="107" t="str"/>
    </x:row>
    <x:row r="34">
      <x:c r="A34" s="104" t="str">
        <x:v>NUBE.OBS.01</x:v>
      </x:c>
      <x:c r="B34" s="104" t="str">
        <x:v>Observabilidad</x:v>
      </x:c>
      <x:c r="C34" s="104" t="str">
        <x:v>Healthcheck de aplicación y dependencia crítica</x:v>
      </x:c>
      <x:c r="D34" s="104" t="str">
        <x:v>OPT</x:v>
      </x:c>
      <x:c r="E34" s="107" t="str">
        <x:v>No</x:v>
      </x:c>
      <x:c r="F34" s="104" t="str">
        <x:v>H4</x:v>
      </x:c>
      <x:c r="G34" s="107"/>
      <x:c r="H34" s="104" t="n">
        <x:v>3</x:v>
      </x:c>
      <x:c r="I34" s="107" t="n">
        <x:v>3</x:v>
      </x:c>
      <x:c r="J34" s="107"/>
      <x:c r="K34" s="104" t="n">
        <x:v>2</x:v>
      </x:c>
      <x:c r="L34" s="107"/>
      <x:c r="M34" s="107"/>
      <x:c r="N34" s="108" t="n">
        <x:v>0</x:v>
      </x:c>
      <x:c r="O34" s="107" t="str">
        <x:v>NO CONTRATADA</x:v>
      </x:c>
      <x:c r="P34" s="109" t="n">
        <x:f>IF(AND(E34="Sí",O34="ACEPTADA"),K34,0)</x:f>
        <x:v>0</x:v>
      </x:c>
      <x:c r="Q34" s="109" t="n">
        <x:f>IF(E34="Sí",K34*N34,0)</x:f>
        <x:v>0</x:v>
      </x:c>
      <x:c r="R34" s="104" t="str">
        <x:v>Health distingue aplicación disponible y dependencia crítica fallida cuando procede.</x:v>
      </x:c>
      <x:c r="S34" s="104" t="str">
        <x:v>Endpoint + test</x:v>
      </x:c>
      <x:c r="T34" s="104" t="str">
        <x:v>Backend</x:v>
      </x:c>
      <x:c r="U34" s="107" t="str"/>
    </x:row>
    <x:row r="35">
      <x:c r="A35" s="104" t="str">
        <x:v>NUBE.OBS.02</x:v>
      </x:c>
      <x:c r="B35" s="104" t="str">
        <x:v>Observabilidad</x:v>
      </x:c>
      <x:c r="C35" s="104" t="str">
        <x:v>Centralizar/consultar logs de aplicación</x:v>
      </x:c>
      <x:c r="D35" s="104" t="str">
        <x:v>OPT</x:v>
      </x:c>
      <x:c r="E35" s="107" t="str">
        <x:v>No</x:v>
      </x:c>
      <x:c r="F35" s="104" t="str">
        <x:v>H4</x:v>
      </x:c>
      <x:c r="G35" s="107"/>
      <x:c r="H35" s="104" t="n">
        <x:v>4</x:v>
      </x:c>
      <x:c r="I35" s="107" t="n">
        <x:v>4</x:v>
      </x:c>
      <x:c r="J35" s="107"/>
      <x:c r="K35" s="104" t="n">
        <x:v>2</x:v>
      </x:c>
      <x:c r="L35" s="107"/>
      <x:c r="M35" s="107"/>
      <x:c r="N35" s="108" t="n">
        <x:v>0</x:v>
      </x:c>
      <x:c r="O35" s="107" t="str">
        <x:v>NO CONTRATADA</x:v>
      </x:c>
      <x:c r="P35" s="109" t="n">
        <x:f>IF(AND(E35="Sí",O35="ACEPTADA"),K35,0)</x:f>
        <x:v>0</x:v>
      </x:c>
      <x:c r="Q35" s="109" t="n">
        <x:f>IF(E35="Sí",K35*N35,0)</x:f>
        <x:v>0</x:v>
      </x:c>
      <x:c r="R35" s="104" t="str">
        <x:v>Un incidente preparado puede localizarse sin entrar manualmente al contenedor.</x:v>
      </x:c>
      <x:c r="S35" s="104" t="str">
        <x:v>Consulta + incidente</x:v>
      </x:c>
      <x:c r="T35" s="104" t="str">
        <x:v>NUBE.DEP.01</x:v>
      </x:c>
      <x:c r="U35" s="107" t="str"/>
    </x:row>
    <x:row r="36">
      <x:c r="A36" s="104" t="str">
        <x:v>NUBE.OBS.03</x:v>
      </x:c>
      <x:c r="B36" s="104" t="str">
        <x:v>Observabilidad</x:v>
      </x:c>
      <x:c r="C36" s="104" t="str">
        <x:v>Definir al menos tres métricas útiles</x:v>
      </x:c>
      <x:c r="D36" s="104" t="str">
        <x:v>OPT</x:v>
      </x:c>
      <x:c r="E36" s="107" t="str">
        <x:v>No</x:v>
      </x:c>
      <x:c r="F36" s="104" t="str">
        <x:v>H5</x:v>
      </x:c>
      <x:c r="G36" s="107"/>
      <x:c r="H36" s="104" t="n">
        <x:v>4</x:v>
      </x:c>
      <x:c r="I36" s="107" t="n">
        <x:v>4</x:v>
      </x:c>
      <x:c r="J36" s="107"/>
      <x:c r="K36" s="104" t="n">
        <x:v>2</x:v>
      </x:c>
      <x:c r="L36" s="107"/>
      <x:c r="M36" s="107"/>
      <x:c r="N36" s="108" t="n">
        <x:v>0</x:v>
      </x:c>
      <x:c r="O36" s="107" t="str">
        <x:v>NO CONTRATADA</x:v>
      </x:c>
      <x:c r="P36" s="109" t="n">
        <x:f>IF(AND(E36="Sí",O36="ACEPTADA"),K36,0)</x:f>
        <x:v>0</x:v>
      </x:c>
      <x:c r="Q36" s="109" t="n">
        <x:f>IF(E36="Sí",K36*N36,0)</x:f>
        <x:v>0</x:v>
      </x:c>
      <x:c r="R36" s="104" t="str">
        <x:v>Las métricas tienen significado y permiten observar uso/rendimiento/error.</x:v>
      </x:c>
      <x:c r="S36" s="104" t="str">
        <x:v>Dashboard/consulta</x:v>
      </x:c>
      <x:c r="T36" s="104" t="str">
        <x:v>NUBE.OBS.01</x:v>
      </x:c>
      <x:c r="U36" s="107" t="str"/>
    </x:row>
    <x:row r="37">
      <x:c r="A37" s="104" t="str">
        <x:v>NUBE.OBS.04</x:v>
      </x:c>
      <x:c r="B37" s="104" t="str">
        <x:v>Observabilidad</x:v>
      </x:c>
      <x:c r="C37" s="104" t="str">
        <x:v>Crear alerta simple sobre fallo/umbral</x:v>
      </x:c>
      <x:c r="D37" s="104" t="str">
        <x:v>ADV</x:v>
      </x:c>
      <x:c r="E37" s="107" t="str">
        <x:v>No</x:v>
      </x:c>
      <x:c r="F37" s="104" t="str">
        <x:v>H5</x:v>
      </x:c>
      <x:c r="G37" s="107"/>
      <x:c r="H37" s="104" t="n">
        <x:v>4</x:v>
      </x:c>
      <x:c r="I37" s="107" t="n">
        <x:v>4</x:v>
      </x:c>
      <x:c r="J37" s="107"/>
      <x:c r="K37" s="104" t="n">
        <x:v>2</x:v>
      </x:c>
      <x:c r="L37" s="107"/>
      <x:c r="M37" s="107"/>
      <x:c r="N37" s="108" t="n">
        <x:v>0</x:v>
      </x:c>
      <x:c r="O37" s="107" t="str">
        <x:v>NO CONTRATADA</x:v>
      </x:c>
      <x:c r="P37" s="109" t="n">
        <x:f>IF(AND(E37="Sí",O37="ACEPTADA"),K37,0)</x:f>
        <x:v>0</x:v>
      </x:c>
      <x:c r="Q37" s="109" t="n">
        <x:f>IF(E37="Sí",K37*N37,0)</x:f>
        <x:v>0</x:v>
      </x:c>
      <x:c r="R37" s="104" t="str">
        <x:v>Un fallo/umbral preparado genera una señal verificable sin ruido excesivo.</x:v>
      </x:c>
      <x:c r="S37" s="104" t="str">
        <x:v>Prueba alerta</x:v>
      </x:c>
      <x:c r="T37" s="104" t="str">
        <x:v>NUBE.OBS.03</x:v>
      </x:c>
      <x:c r="U37" s="107" t="str"/>
    </x:row>
    <x:row r="38">
      <x:c r="A38" s="104" t="str">
        <x:v>NUBE.COST.01</x:v>
      </x:c>
      <x:c r="B38" s="104" t="str">
        <x:v>Coste y gobierno</x:v>
      </x:c>
      <x:c r="C38" s="104" t="str">
        <x:v>Configurar presupuesto/alerta de coste cuando el proveedor lo permita</x:v>
      </x:c>
      <x:c r="D38" s="104" t="str">
        <x:v>OPT</x:v>
      </x:c>
      <x:c r="E38" s="107" t="str">
        <x:v>No</x:v>
      </x:c>
      <x:c r="F38" s="104" t="str">
        <x:v>H4</x:v>
      </x:c>
      <x:c r="G38" s="107"/>
      <x:c r="H38" s="104" t="n">
        <x:v>3</x:v>
      </x:c>
      <x:c r="I38" s="107" t="n">
        <x:v>3</x:v>
      </x:c>
      <x:c r="J38" s="107"/>
      <x:c r="K38" s="104" t="n">
        <x:v>2</x:v>
      </x:c>
      <x:c r="L38" s="107"/>
      <x:c r="M38" s="107"/>
      <x:c r="N38" s="108" t="n">
        <x:v>0</x:v>
      </x:c>
      <x:c r="O38" s="107" t="str">
        <x:v>NO CONTRATADA</x:v>
      </x:c>
      <x:c r="P38" s="109" t="n">
        <x:f>IF(AND(E38="Sí",O38="ACEPTADA"),K38,0)</x:f>
        <x:v>0</x:v>
      </x:c>
      <x:c r="Q38" s="109" t="n">
        <x:f>IF(E38="Sí",K38*N38,0)</x:f>
        <x:v>0</x:v>
      </x:c>
      <x:c r="R38" s="104" t="str">
        <x:v>Existe límite/alerta documentada y el equipo sabe cómo consultar consumo.</x:v>
      </x:c>
      <x:c r="S38" s="104" t="str">
        <x:v>Captura/config</x:v>
      </x:c>
      <x:c r="T38" s="104" t="str">
        <x:v>NUBE.ARQ.03</x:v>
      </x:c>
      <x:c r="U38" s="107" t="str"/>
    </x:row>
    <x:row r="39">
      <x:c r="A39" s="104" t="str">
        <x:v>NUBE.COST.02</x:v>
      </x:c>
      <x:c r="B39" s="104" t="str">
        <x:v>Coste y gobierno</x:v>
      </x:c>
      <x:c r="C39" s="104" t="str">
        <x:v>Registrar coste real frente a estimado</x:v>
      </x:c>
      <x:c r="D39" s="104" t="str">
        <x:v>OPT</x:v>
      </x:c>
      <x:c r="E39" s="107" t="str">
        <x:v>No</x:v>
      </x:c>
      <x:c r="F39" s="104" t="str">
        <x:v>H5</x:v>
      </x:c>
      <x:c r="G39" s="107"/>
      <x:c r="H39" s="104" t="n">
        <x:v>3</x:v>
      </x:c>
      <x:c r="I39" s="107" t="n">
        <x:v>3</x:v>
      </x:c>
      <x:c r="J39" s="107"/>
      <x:c r="K39" s="104" t="n">
        <x:v>2</x:v>
      </x:c>
      <x:c r="L39" s="107"/>
      <x:c r="M39" s="107"/>
      <x:c r="N39" s="108" t="n">
        <x:v>0</x:v>
      </x:c>
      <x:c r="O39" s="107" t="str">
        <x:v>NO CONTRATADA</x:v>
      </x:c>
      <x:c r="P39" s="109" t="n">
        <x:f>IF(AND(E39="Sí",O39="ACEPTADA"),K39,0)</x:f>
        <x:v>0</x:v>
      </x:c>
      <x:c r="Q39" s="109" t="n">
        <x:f>IF(E39="Sí",K39*N39,0)</x:f>
        <x:v>0</x:v>
      </x:c>
      <x:c r="R39" s="104" t="str">
        <x:v>Se compara coste observado con estimación y se explican desviaciones.</x:v>
      </x:c>
      <x:c r="S39" s="104" t="str">
        <x:v>Informe</x:v>
      </x:c>
      <x:c r="T39" s="104" t="str">
        <x:v>NUBE.COST.01</x:v>
      </x:c>
      <x:c r="U39" s="107" t="str"/>
    </x:row>
    <x:row r="40">
      <x:c r="A40" s="104" t="str">
        <x:v>NUBE.COST.03</x:v>
      </x:c>
      <x:c r="B40" s="104" t="str">
        <x:v>Coste y gobierno</x:v>
      </x:c>
      <x:c r="C40" s="104" t="str">
        <x:v>Documentar apagado/eliminación segura del entorno</x:v>
      </x:c>
      <x:c r="D40" s="104" t="str">
        <x:v>OPT</x:v>
      </x:c>
      <x:c r="E40" s="107" t="str">
        <x:v>No</x:v>
      </x:c>
      <x:c r="F40" s="104" t="str">
        <x:v>H5</x:v>
      </x:c>
      <x:c r="G40" s="107"/>
      <x:c r="H40" s="104" t="n">
        <x:v>3</x:v>
      </x:c>
      <x:c r="I40" s="107" t="n">
        <x:v>3</x:v>
      </x:c>
      <x:c r="J40" s="107"/>
      <x:c r="K40" s="104" t="n">
        <x:v>2</x:v>
      </x:c>
      <x:c r="L40" s="107"/>
      <x:c r="M40" s="107"/>
      <x:c r="N40" s="108" t="n">
        <x:v>0</x:v>
      </x:c>
      <x:c r="O40" s="107" t="str">
        <x:v>NO CONTRATADA</x:v>
      </x:c>
      <x:c r="P40" s="109" t="n">
        <x:f>IF(AND(E40="Sí",O40="ACEPTADA"),K40,0)</x:f>
        <x:v>0</x:v>
      </x:c>
      <x:c r="Q40" s="109" t="n">
        <x:f>IF(E40="Sí",K40*N40,0)</x:f>
        <x:v>0</x:v>
      </x:c>
      <x:c r="R40" s="104" t="str">
        <x:v>El runbook elimina recursos sin dejar costes olvidados y conserva lo que deba persistir.</x:v>
      </x:c>
      <x:c r="S40" s="104" t="str">
        <x:v>Runbook + ejecución</x:v>
      </x:c>
      <x:c r="T40" s="104" t="str">
        <x:v>NUBE.DEP.*</x:v>
      </x:c>
      <x:c r="U40" s="107" t="str"/>
    </x:row>
    <x:row r="41">
      <x:c r="A41" s="104" t="str">
        <x:v>NUBE.CI.01</x:v>
      </x:c>
      <x:c r="B41" s="104" t="str">
        <x:v>CI/CD cloud</x:v>
      </x:c>
      <x:c r="C41" s="104" t="str">
        <x:v>Pipeline de publicación de imagen por tag/release</x:v>
      </x:c>
      <x:c r="D41" s="104" t="str">
        <x:v>ADV</x:v>
      </x:c>
      <x:c r="E41" s="107" t="str">
        <x:v>No</x:v>
      </x:c>
      <x:c r="F41" s="104" t="str">
        <x:v>H5</x:v>
      </x:c>
      <x:c r="G41" s="107"/>
      <x:c r="H41" s="104" t="n">
        <x:v>5</x:v>
      </x:c>
      <x:c r="I41" s="107" t="n">
        <x:v>5</x:v>
      </x:c>
      <x:c r="J41" s="107"/>
      <x:c r="K41" s="104" t="n">
        <x:v>3</x:v>
      </x:c>
      <x:c r="L41" s="107"/>
      <x:c r="M41" s="107"/>
      <x:c r="N41" s="108" t="n">
        <x:v>0</x:v>
      </x:c>
      <x:c r="O41" s="107" t="str">
        <x:v>NO CONTRATADA</x:v>
      </x:c>
      <x:c r="P41" s="109" t="n">
        <x:f>IF(AND(E41="Sí",O41="ACEPTADA"),K41,0)</x:f>
        <x:v>0</x:v>
      </x:c>
      <x:c r="Q41" s="109" t="n">
        <x:f>IF(E41="Sí",K41*N41,0)</x:f>
        <x:v>0</x:v>
      </x:c>
      <x:c r="R41" s="104" t="str">
        <x:v>Un tag autorizado construye/publica artefacto asociado a commit.</x:v>
      </x:c>
      <x:c r="S41" s="104" t="str">
        <x:v>Workflow + release</x:v>
      </x:c>
      <x:c r="T41" s="104" t="str">
        <x:v>NUBE.REG.03</x:v>
      </x:c>
      <x:c r="U41" s="107" t="str"/>
    </x:row>
    <x:row r="42">
      <x:c r="A42" s="104" t="str">
        <x:v>NUBE.CI.02</x:v>
      </x:c>
      <x:c r="B42" s="104" t="str">
        <x:v>CI/CD cloud</x:v>
      </x:c>
      <x:c r="C42" s="104" t="str">
        <x:v>Pipeline de despliegue controlado a entorno</x:v>
      </x:c>
      <x:c r="D42" s="104" t="str">
        <x:v>ADV</x:v>
      </x:c>
      <x:c r="E42" s="107" t="str">
        <x:v>No</x:v>
      </x:c>
      <x:c r="F42" s="104" t="str">
        <x:v>H5</x:v>
      </x:c>
      <x:c r="G42" s="107"/>
      <x:c r="H42" s="104" t="n">
        <x:v>5</x:v>
      </x:c>
      <x:c r="I42" s="107" t="n">
        <x:v>5</x:v>
      </x:c>
      <x:c r="J42" s="107"/>
      <x:c r="K42" s="104" t="n">
        <x:v>3</x:v>
      </x:c>
      <x:c r="L42" s="107"/>
      <x:c r="M42" s="107"/>
      <x:c r="N42" s="108" t="n">
        <x:v>0</x:v>
      </x:c>
      <x:c r="O42" s="107" t="str">
        <x:v>NO CONTRATADA</x:v>
      </x:c>
      <x:c r="P42" s="109" t="n">
        <x:f>IF(AND(E42="Sí",O42="ACEPTADA"),K42,0)</x:f>
        <x:v>0</x:v>
      </x:c>
      <x:c r="Q42" s="109" t="n">
        <x:f>IF(E42="Sí",K42*N42,0)</x:f>
        <x:v>0</x:v>
      </x:c>
      <x:c r="R42" s="104" t="str">
        <x:v>El despliegue requiere condiciones/aprobación acordadas y deja trazabilidad.</x:v>
      </x:c>
      <x:c r="S42" s="104" t="str">
        <x:v>Workflow + ejecución</x:v>
      </x:c>
      <x:c r="T42" s="104" t="str">
        <x:v>NUBE.CI.01</x:v>
      </x:c>
      <x:c r="U42" s="107" t="str"/>
    </x:row>
    <x:row r="43">
      <x:c r="A43"/>
      <x:c r="B43"/>
      <x:c r="C43"/>
      <x:c r="D43"/>
      <x:c r="E43"/>
      <x:c r="F43"/>
      <x:c r="G43"/>
      <x:c r="H43"/>
      <x:c r="I43"/>
      <x:c r="J43"/>
      <x:c r="K43"/>
      <x:c r="L43"/>
      <x:c r="M43"/>
      <x:c r="N43"/>
      <x:c r="O43"/>
      <x:c r="P43"/>
      <x:c r="Q43"/>
      <x:c r="R43"/>
      <x:c r="S43"/>
      <x:c r="T43"/>
      <x:c r="U43"/>
    </x:row>
    <x:row r="44">
      <x:c r="A44"/>
      <x:c r="B44"/>
      <x:c r="C44"/>
      <x:c r="D44"/>
      <x:c r="E44"/>
      <x:c r="F44"/>
      <x:c r="G44"/>
      <x:c r="H44"/>
      <x:c r="I44"/>
      <x:c r="J44"/>
      <x:c r="K44"/>
      <x:c r="L44"/>
      <x:c r="M44"/>
      <x:c r="N44"/>
      <x:c r="O44"/>
      <x:c r="P44"/>
      <x:c r="Q44"/>
      <x:c r="R44"/>
      <x:c r="S44"/>
      <x:c r="T44"/>
      <x:c r="U44"/>
    </x:row>
    <x:row r="45">
      <x:c r="A45"/>
      <x:c r="B45"/>
      <x:c r="C45"/>
      <x:c r="D45"/>
      <x:c r="E45"/>
      <x:c r="F45"/>
      <x:c r="G45"/>
      <x:c r="H45"/>
      <x:c r="I45"/>
      <x:c r="J45"/>
      <x:c r="K45"/>
      <x:c r="L45"/>
      <x:c r="M45"/>
      <x:c r="N45"/>
      <x:c r="O45"/>
      <x:c r="P45"/>
      <x:c r="Q45"/>
      <x:c r="R45"/>
      <x:c r="S45"/>
      <x:c r="T45"/>
      <x:c r="U45"/>
    </x:row>
    <x:row r="46">
      <x:c r="A46"/>
      <x:c r="B46"/>
      <x:c r="C46"/>
      <x:c r="D46"/>
      <x:c r="E46"/>
      <x:c r="F46"/>
      <x:c r="G46"/>
      <x:c r="H46"/>
      <x:c r="I46"/>
      <x:c r="J46"/>
      <x:c r="K46"/>
      <x:c r="L46"/>
      <x:c r="M46"/>
      <x:c r="N46"/>
      <x:c r="O46"/>
      <x:c r="P46"/>
      <x:c r="Q46"/>
      <x:c r="R46"/>
      <x:c r="S46"/>
      <x:c r="T46"/>
      <x:c r="U46"/>
    </x:row>
    <x:row r="47">
      <x:c r="A47"/>
      <x:c r="B47"/>
      <x:c r="C47"/>
      <x:c r="D47"/>
      <x:c r="E47"/>
      <x:c r="F47"/>
      <x:c r="G47"/>
      <x:c r="H47"/>
      <x:c r="I47"/>
      <x:c r="J47"/>
      <x:c r="K47"/>
      <x:c r="L47"/>
      <x:c r="M47"/>
      <x:c r="N47"/>
      <x:c r="O47"/>
      <x:c r="P47"/>
      <x:c r="Q47"/>
      <x:c r="R47"/>
      <x:c r="S47"/>
      <x:c r="T47"/>
      <x:c r="U47"/>
    </x:row>
    <x:row r="48">
      <x:c r="A48"/>
      <x:c r="B48"/>
      <x:c r="C48"/>
      <x:c r="D48"/>
      <x:c r="E48"/>
      <x:c r="F48"/>
      <x:c r="G48"/>
      <x:c r="H48"/>
      <x:c r="I48"/>
      <x:c r="J48"/>
      <x:c r="K48"/>
      <x:c r="L48"/>
      <x:c r="M48"/>
      <x:c r="N48"/>
      <x:c r="O48"/>
      <x:c r="P48"/>
      <x:c r="Q48"/>
      <x:c r="R48"/>
      <x:c r="S48"/>
      <x:c r="T48"/>
      <x:c r="U48"/>
    </x:row>
    <x:row r="49">
      <x:c r="A49"/>
      <x:c r="B49"/>
      <x:c r="C49"/>
      <x:c r="D49"/>
      <x:c r="E49"/>
      <x:c r="F49"/>
      <x:c r="G49"/>
      <x:c r="H49"/>
      <x:c r="I49"/>
      <x:c r="J49"/>
      <x:c r="K49"/>
      <x:c r="L49"/>
      <x:c r="M49"/>
      <x:c r="N49"/>
      <x:c r="O49"/>
      <x:c r="P49"/>
      <x:c r="Q49"/>
      <x:c r="R49"/>
      <x:c r="S49"/>
      <x:c r="T49"/>
      <x:c r="U49"/>
    </x:row>
  </x:sheetData>
  <x:mergeCells>
    <x:mergeCell ref="A1:U1"/>
    <x:mergeCell ref="A2:U2"/>
  </x:mergeCells>
  <x:conditionalFormatting sqref="D15:D42">
    <x:cfRule type="expression" dxfId="33" priority="1">
      <x:formula>D15="OBL"</x:formula>
    </x:cfRule>
    <x:cfRule type="expression" dxfId="34" priority="2">
      <x:formula>D15="ADV"</x:formula>
    </x:cfRule>
    <x:cfRule type="expression" dxfId="35" priority="3">
      <x:formula>D15="OPT"</x:formula>
    </x:cfRule>
  </x:conditionalFormatting>
  <x:conditionalFormatting sqref="N15:N42">
    <x:cfRule type="dataBar" priority="4">
      <x:dataBar>
        <x:cfvo type="min"/>
        <x:cfvo type="max"/>
        <x:color rgb="FFA02B93"/>
      </x:dataBar>
      <x:extLst>
        <x:ext xmlns:x14="http://schemas.microsoft.com/office/spreadsheetml/2009/9/main" uri="{B025F937-C7B1-47D3-B67F-A62EFF666E3E}">
          <x14:id>{FF7921E7-5A4D-C4FE-6F1D-A2C9E6DAC180}</x14:id>
        </x:ext>
      </x:extLst>
    </x:cfRule>
  </x:conditionalFormatting>
  <x:dataValidations count="5">
    <x:dataValidation type="list" sqref="D15:D42">
      <x:formula1>"OBL,OPT,ADV"</x:formula1>
    </x:dataValidation>
    <x:dataValidation type="list" sqref="E15:E42">
      <x:formula1>"Sí,No"</x:formula1>
    </x:dataValidation>
    <x:dataValidation type="list" sqref="O15:O42">
      <x:formula1>"NO CONTRATADA,BACKLOG,PLANIFICADA,EN DESARROLLO,EN REVISIÓN,ACEPTADA,BLOQUEADA,RECUPERACIÓN"</x:formula1>
    </x:dataValidation>
    <x:dataValidation type="list" sqref="G15:G42">
      <x:formula1>"H0,H1,H2,H3,H4,H5"</x:formula1>
    </x:dataValidation>
    <x:dataValidation type="list" sqref="L15:L42">
      <x:formula1>'16 Contrato firma'!$B$7:$B$10</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4" id="{FF7921E7-5A4D-C4FE-6F1D-A2C9E6DAC180}">
            <x14:dataBar gradient="1">
              <x14:cfvo type="min"/>
              <x14:cfvo type="max"/>
              <x14:fillColor rgb="FFA02B93"/>
            </x14:dataBar>
          </x14:cfRule>
          <xm:sqref>N15:N42</xm:sqref>
        </x14:conditionalFormatting>
      </x14:conditionalFormattings>
    </x:ext>
  </x:extLst>
</x:worksheet>
</file>

<file path=xl/worksheets/sheet11.xml><?xml version="1.0" encoding="utf-8"?>
<x:worksheet xmlns:x="http://schemas.openxmlformats.org/spreadsheetml/2006/main">
  <x:sheetFormatPr defaultRowHeight="15"/>
  <x:cols>
    <x:col min="1" max="1" width="16" hidden="0" customWidth="1"/>
    <x:col min="2" max="2" width="24" hidden="0" customWidth="1"/>
    <x:col min="3" max="3" width="48" hidden="0" customWidth="1"/>
    <x:col min="4" max="4" width="9" hidden="0" customWidth="1"/>
    <x:col min="5" max="5" width="11" hidden="0" customWidth="1"/>
    <x:col min="6" max="6" width="14" hidden="0" customWidth="1"/>
    <x:col min="7" max="7" width="14" hidden="0" customWidth="1"/>
    <x:col min="8" max="8" width="12" hidden="0" customWidth="1"/>
    <x:col min="9" max="9" width="12" hidden="0" customWidth="1"/>
    <x:col min="10" max="10" width="12" hidden="0" customWidth="1"/>
    <x:col min="11" max="11" width="7" hidden="0" customWidth="1"/>
    <x:col min="12" max="12" width="16" hidden="0" customWidth="1"/>
    <x:col min="13" max="13" width="10" hidden="0" customWidth="1"/>
    <x:col min="14" max="14" width="10" hidden="0" customWidth="1"/>
    <x:col min="15" max="15" width="16" hidden="0" customWidth="1"/>
    <x:col min="16" max="16" width="11" hidden="0" customWidth="1"/>
    <x:col min="17" max="17" width="11" hidden="0" customWidth="1"/>
    <x:col min="18" max="18" width="52" hidden="0" customWidth="1"/>
    <x:col min="19" max="19" width="30" hidden="0" customWidth="1"/>
    <x:col min="20" max="20" width="28" hidden="0" customWidth="1"/>
    <x:col min="21" max="21" width="28" hidden="0" customWidth="1"/>
  </x:cols>
  <x:sheetData>
    <x:row r="1" ht="28" customHeight="1">
      <x:c r="A1" s="88" t="str">
        <x:v>Digitalización aplicada al sistema productivo · Presupuesto de tareas · AulaFlow 2.0 · v1.0 · copia operativa</x:v>
      </x:c>
      <x:c r="B1" s="88"/>
      <x:c r="C1" s="88"/>
      <x:c r="D1" s="88"/>
      <x:c r="E1" s="88"/>
      <x:c r="F1" s="88"/>
      <x:c r="G1" s="88"/>
      <x:c r="H1" s="88"/>
      <x:c r="I1" s="88"/>
      <x:c r="J1" s="88"/>
      <x:c r="K1" s="88"/>
      <x:c r="L1" s="88"/>
      <x:c r="M1" s="88"/>
      <x:c r="N1" s="88"/>
      <x:c r="O1" s="88"/>
      <x:c r="P1" s="88"/>
      <x:c r="Q1" s="88"/>
      <x:c r="R1" s="88"/>
      <x:c r="S1" s="88"/>
      <x:c r="T1" s="88"/>
      <x:c r="U1" s="88"/>
    </x:row>
    <x:row r="2" ht="40" customHeight="1">
      <x:c r="A2" s="91" t="str">
        <x:v>Banco de indicadores y función de IA aplicada con verificación humana. Las tareas deben partir de datos reproducibles y no utilizar información sensible innecesaria. Las horas son horas-persona totales del equipo para cada tarea.</x:v>
      </x:c>
      <x:c r="B2" s="91"/>
      <x:c r="C2" s="91"/>
      <x:c r="D2" s="91"/>
      <x:c r="E2" s="91"/>
      <x:c r="F2" s="91"/>
      <x:c r="G2" s="91"/>
      <x:c r="H2" s="91"/>
      <x:c r="I2" s="91"/>
      <x:c r="J2" s="91"/>
      <x:c r="K2" s="91"/>
      <x:c r="L2" s="91"/>
      <x:c r="M2" s="91"/>
      <x:c r="N2" s="91"/>
      <x:c r="O2" s="91"/>
      <x:c r="P2" s="91"/>
      <x:c r="Q2" s="91"/>
      <x:c r="R2" s="91"/>
      <x:c r="S2" s="91"/>
      <x:c r="T2" s="91"/>
      <x:c r="U2" s="91"/>
    </x:row>
    <x:row r="3">
      <x:c r="A3"/>
      <x:c r="B3"/>
      <x:c r="C3"/>
      <x:c r="D3"/>
      <x:c r="E3"/>
      <x:c r="F3"/>
      <x:c r="G3"/>
      <x:c r="H3"/>
      <x:c r="I3"/>
      <x:c r="J3"/>
      <x:c r="K3"/>
      <x:c r="L3"/>
      <x:c r="M3"/>
      <x:c r="N3"/>
      <x:c r="O3"/>
      <x:c r="P3"/>
      <x:c r="Q3"/>
      <x:c r="R3"/>
      <x:c r="S3"/>
      <x:c r="T3"/>
      <x:c r="U3"/>
    </x:row>
    <x:row r="4">
      <x:c r="A4" s="114" t="str">
        <x:v>RESUMEN</x:v>
      </x:c>
      <x:c r="B4" s="114" t="str">
        <x:v>VALOR</x:v>
      </x:c>
      <x:c r="C4"/>
      <x:c r="D4"/>
      <x:c r="E4"/>
      <x:c r="F4"/>
      <x:c r="G4"/>
      <x:c r="H4"/>
      <x:c r="I4"/>
      <x:c r="J4"/>
      <x:c r="K4"/>
      <x:c r="L4"/>
      <x:c r="M4"/>
      <x:c r="N4"/>
      <x:c r="O4"/>
      <x:c r="P4"/>
      <x:c r="Q4"/>
      <x:c r="R4"/>
      <x:c r="S4"/>
      <x:c r="T4"/>
      <x:c r="U4"/>
    </x:row>
    <x:row r="5">
      <x:c r="A5" s="116" t="str">
        <x:v>AT obligatorios ofertados</x:v>
      </x:c>
      <x:c r="B5" s="117" t="n">
        <x:f>SUMIF(D15:D27,"OBL",K15:K27)</x:f>
        <x:v>0</x:v>
      </x:c>
      <x:c r="C5"/>
      <x:c r="D5"/>
      <x:c r="E5"/>
      <x:c r="F5"/>
      <x:c r="G5"/>
      <x:c r="H5"/>
      <x:c r="I5"/>
      <x:c r="J5"/>
      <x:c r="K5"/>
      <x:c r="L5"/>
      <x:c r="M5"/>
      <x:c r="N5"/>
      <x:c r="O5"/>
      <x:c r="P5"/>
      <x:c r="Q5"/>
      <x:c r="R5"/>
      <x:c r="S5"/>
      <x:c r="T5"/>
      <x:c r="U5"/>
    </x:row>
    <x:row r="6">
      <x:c r="A6" s="116" t="str">
        <x:v>AT totales ofertados</x:v>
      </x:c>
      <x:c r="B6" s="117" t="n">
        <x:f>SUM(K15:K27)</x:f>
        <x:v>25</x:v>
      </x:c>
      <x:c r="C6"/>
      <x:c r="D6"/>
      <x:c r="E6"/>
      <x:c r="F6"/>
      <x:c r="G6"/>
      <x:c r="H6"/>
      <x:c r="I6"/>
      <x:c r="J6"/>
      <x:c r="K6"/>
      <x:c r="L6"/>
      <x:c r="M6"/>
      <x:c r="N6"/>
      <x:c r="O6"/>
      <x:c r="P6"/>
      <x:c r="Q6"/>
      <x:c r="R6"/>
      <x:c r="S6"/>
      <x:c r="T6"/>
      <x:c r="U6"/>
    </x:row>
    <x:row r="7">
      <x:c r="A7" s="116" t="str">
        <x:v>AT seleccionados</x:v>
      </x:c>
      <x:c r="B7" s="117" t="n">
        <x:f>SUMIF(E15:E27,"Sí",K15:K27)</x:f>
        <x:v>0</x:v>
      </x:c>
      <x:c r="C7"/>
      <x:c r="D7"/>
      <x:c r="E7"/>
      <x:c r="F7"/>
      <x:c r="G7"/>
      <x:c r="H7"/>
      <x:c r="I7"/>
      <x:c r="J7"/>
      <x:c r="K7"/>
      <x:c r="L7"/>
      <x:c r="M7"/>
      <x:c r="N7"/>
      <x:c r="O7"/>
      <x:c r="P7"/>
      <x:c r="Q7"/>
      <x:c r="R7"/>
      <x:c r="S7"/>
      <x:c r="T7"/>
      <x:c r="U7"/>
    </x:row>
    <x:row r="8">
      <x:c r="A8" s="116" t="str">
        <x:v>AT validados</x:v>
      </x:c>
      <x:c r="B8" s="117" t="n">
        <x:f>SUM(P15:P27)</x:f>
        <x:v>0</x:v>
      </x:c>
      <x:c r="C8"/>
      <x:c r="D8"/>
      <x:c r="E8"/>
      <x:c r="F8"/>
      <x:c r="G8"/>
      <x:c r="H8"/>
      <x:c r="I8"/>
      <x:c r="J8"/>
      <x:c r="K8"/>
      <x:c r="L8"/>
      <x:c r="M8"/>
      <x:c r="N8"/>
      <x:c r="O8"/>
      <x:c r="P8"/>
      <x:c r="Q8"/>
      <x:c r="R8"/>
      <x:c r="S8"/>
      <x:c r="T8"/>
      <x:c r="U8"/>
    </x:row>
    <x:row r="9">
      <x:c r="A9" s="116" t="str">
        <x:v>Horas recomendadas seleccionadas</x:v>
      </x:c>
      <x:c r="B9" s="117" t="n">
        <x:f>SUMIF(E15:E27,"Sí",H15:H27)</x:f>
        <x:v>0</x:v>
      </x:c>
      <x:c r="C9"/>
      <x:c r="D9"/>
      <x:c r="E9"/>
      <x:c r="F9"/>
      <x:c r="G9"/>
      <x:c r="H9"/>
      <x:c r="I9"/>
      <x:c r="J9"/>
      <x:c r="K9"/>
      <x:c r="L9"/>
      <x:c r="M9"/>
      <x:c r="N9"/>
      <x:c r="O9"/>
      <x:c r="P9"/>
      <x:c r="Q9"/>
      <x:c r="R9"/>
      <x:c r="S9"/>
      <x:c r="T9"/>
      <x:c r="U9"/>
    </x:row>
    <x:row r="10">
      <x:c r="A10" s="116" t="str">
        <x:v>Horas presupuestadas seleccionadas</x:v>
      </x:c>
      <x:c r="B10" s="117" t="n">
        <x:f>SUMIF(E15:E27,"Sí",I15:I27)</x:f>
        <x:v>0</x:v>
      </x:c>
      <x:c r="C10"/>
      <x:c r="D10"/>
      <x:c r="E10"/>
      <x:c r="F10"/>
      <x:c r="G10"/>
      <x:c r="H10"/>
      <x:c r="I10"/>
      <x:c r="J10"/>
      <x:c r="K10"/>
      <x:c r="L10"/>
      <x:c r="M10"/>
      <x:c r="N10"/>
      <x:c r="O10"/>
      <x:c r="P10"/>
      <x:c r="Q10"/>
      <x:c r="R10"/>
      <x:c r="S10"/>
      <x:c r="T10"/>
      <x:c r="U10"/>
    </x:row>
    <x:row r="11">
      <x:c r="A11" s="116" t="str">
        <x:v>Horas dedicadas</x:v>
      </x:c>
      <x:c r="B11" s="117" t="n">
        <x:f>SUM(J15:J27)</x:f>
        <x:v>0</x:v>
      </x:c>
      <x:c r="C11"/>
      <x:c r="D11"/>
      <x:c r="E11"/>
      <x:c r="F11"/>
      <x:c r="G11"/>
      <x:c r="H11"/>
      <x:c r="I11"/>
      <x:c r="J11"/>
      <x:c r="K11"/>
      <x:c r="L11"/>
      <x:c r="M11"/>
      <x:c r="N11"/>
      <x:c r="O11"/>
      <x:c r="P11"/>
      <x:c r="Q11"/>
      <x:c r="R11"/>
      <x:c r="S11"/>
      <x:c r="T11"/>
      <x:c r="U11"/>
    </x:row>
    <x:row r="12">
      <x:c r="A12" s="116" t="str">
        <x:v>Progreso ponderado por AT</x:v>
      </x:c>
      <x:c r="B12" s="118" t="n">
        <x:f>IF(B7=0,0,SUM(Q15:Q27)/B7)</x:f>
        <x:v>0</x:v>
      </x:c>
      <x:c r="C12"/>
      <x:c r="D12"/>
      <x:c r="E12"/>
      <x:c r="F12"/>
      <x:c r="G12"/>
      <x:c r="H12"/>
      <x:c r="I12"/>
      <x:c r="J12"/>
      <x:c r="K12"/>
      <x:c r="L12"/>
      <x:c r="M12"/>
      <x:c r="N12"/>
      <x:c r="O12"/>
      <x:c r="P12"/>
      <x:c r="Q12"/>
      <x:c r="R12"/>
      <x:c r="S12"/>
      <x:c r="T12"/>
      <x:c r="U12"/>
    </x:row>
    <x:row r="13">
      <x:c r="A13"/>
      <x:c r="B13"/>
      <x:c r="C13"/>
      <x:c r="D13"/>
      <x:c r="E13"/>
      <x:c r="F13"/>
      <x:c r="G13"/>
      <x:c r="H13"/>
      <x:c r="I13"/>
      <x:c r="J13"/>
      <x:c r="K13"/>
      <x:c r="L13"/>
      <x:c r="M13"/>
      <x:c r="N13"/>
      <x:c r="O13"/>
      <x:c r="P13"/>
      <x:c r="Q13"/>
      <x:c r="R13"/>
      <x:c r="S13"/>
      <x:c r="T13"/>
      <x:c r="U13"/>
    </x:row>
    <x:row r="14" ht="44" customHeight="1">
      <x:c r="A14" s="100" t="str">
        <x:v>ID</x:v>
      </x:c>
      <x:c r="B14" s="100" t="str">
        <x:v>Especificación / funcionalidad</x:v>
      </x:c>
      <x:c r="C14" s="100" t="str">
        <x:v>Tarea / entregable</x:v>
      </x:c>
      <x:c r="D14" s="100" t="str">
        <x:v>Tipo</x:v>
      </x:c>
      <x:c r="E14" s="100" t="str">
        <x:v>Seleccionada</x:v>
      </x:c>
      <x:c r="F14" s="100" t="str">
        <x:v>Hito recomendado</x:v>
      </x:c>
      <x:c r="G14" s="100" t="str">
        <x:v>Hito elegido</x:v>
      </x:c>
      <x:c r="H14" s="100" t="str">
        <x:v>Horas recomendadas (equipo)</x:v>
      </x:c>
      <x:c r="I14" s="100" t="str">
        <x:v>Horas presupuestadas (equipo)</x:v>
      </x:c>
      <x:c r="J14" s="100" t="str">
        <x:v>Horas dedicadas (equipo)</x:v>
      </x:c>
      <x:c r="K14" s="100" t="str">
        <x:v>AT</x:v>
      </x:c>
      <x:c r="L14" s="100" t="str">
        <x:v>Responsable</x:v>
      </x:c>
      <x:c r="M14" s="100" t="str">
        <x:v>Sprint</x:v>
      </x:c>
      <x:c r="N14" s="100" t="str">
        <x:v>% realizado</x:v>
      </x:c>
      <x:c r="O14" s="100" t="str">
        <x:v>Estado</x:v>
      </x:c>
      <x:c r="P14" s="100" t="str">
        <x:v>AT validados</x:v>
      </x:c>
      <x:c r="Q14" s="100" t="str">
        <x:v>AT progreso</x:v>
      </x:c>
      <x:c r="R14" s="100" t="str">
        <x:v>Criterios de aceptación</x:v>
      </x:c>
      <x:c r="S14" s="100" t="str">
        <x:v>Evidencia esperada</x:v>
      </x:c>
      <x:c r="T14" s="100" t="str">
        <x:v>Dependencias</x:v>
      </x:c>
      <x:c r="U14" s="100" t="str">
        <x:v>Observaciones</x:v>
      </x:c>
    </x:row>
    <x:row r="15">
      <x:c r="A15" s="104" t="str">
        <x:v>DIG.KPI.01</x:v>
      </x:c>
      <x:c r="B15" s="104" t="str">
        <x:v>Indicadores de digitalización</x:v>
      </x:c>
      <x:c r="C15" s="104" t="str">
        <x:v>Definir preguntas de negocio/proceso que se quieren responder</x:v>
      </x:c>
      <x:c r="D15" s="104" t="str">
        <x:v>OPT</x:v>
      </x:c>
      <x:c r="E15" s="107" t="str">
        <x:v>No</x:v>
      </x:c>
      <x:c r="F15" s="104" t="str">
        <x:v>H4</x:v>
      </x:c>
      <x:c r="G15" s="107"/>
      <x:c r="H15" s="104" t="n">
        <x:v>2</x:v>
      </x:c>
      <x:c r="I15" s="107" t="n">
        <x:v>2</x:v>
      </x:c>
      <x:c r="J15" s="107"/>
      <x:c r="K15" s="104" t="n">
        <x:v>1</x:v>
      </x:c>
      <x:c r="L15" s="107"/>
      <x:c r="M15" s="107"/>
      <x:c r="N15" s="108" t="n">
        <x:v>0</x:v>
      </x:c>
      <x:c r="O15" s="107" t="str">
        <x:v>NO CONTRATADA</x:v>
      </x:c>
      <x:c r="P15" s="109" t="n">
        <x:f>IF(AND(E15="Sí",O15="ACEPTADA"),K15,0)</x:f>
        <x:v>0</x:v>
      </x:c>
      <x:c r="Q15" s="109" t="n">
        <x:f>IF(E15="Sí",K15*N15,0)</x:f>
        <x:v>0</x:v>
      </x:c>
      <x:c r="R15" s="104" t="str">
        <x:v>Cada indicador parte de una pregunta concreta y una decisión potencial.</x:v>
      </x:c>
      <x:c r="S15" s="104" t="str">
        <x:v>Ficha de indicadores</x:v>
      </x:c>
      <x:c r="T15" s="104" t="str">
        <x:v>Datos AulaFlow</x:v>
      </x:c>
      <x:c r="U15" s="107" t="str"/>
    </x:row>
    <x:row r="16">
      <x:c r="A16" s="104" t="str">
        <x:v>DIG.KPI.02</x:v>
      </x:c>
      <x:c r="B16" s="104" t="str">
        <x:v>Indicadores de digitalización</x:v>
      </x:c>
      <x:c r="C16" s="104" t="str">
        <x:v>Seleccionar 3-5 KPIs y definir fórmula/fuente/periodo</x:v>
      </x:c>
      <x:c r="D16" s="104" t="str">
        <x:v>OPT</x:v>
      </x:c>
      <x:c r="E16" s="107" t="str">
        <x:v>No</x:v>
      </x:c>
      <x:c r="F16" s="104" t="str">
        <x:v>H4</x:v>
      </x:c>
      <x:c r="G16" s="107"/>
      <x:c r="H16" s="104" t="n">
        <x:v>3</x:v>
      </x:c>
      <x:c r="I16" s="107" t="n">
        <x:v>3</x:v>
      </x:c>
      <x:c r="J16" s="107"/>
      <x:c r="K16" s="104" t="n">
        <x:v>2</x:v>
      </x:c>
      <x:c r="L16" s="107"/>
      <x:c r="M16" s="107"/>
      <x:c r="N16" s="108" t="n">
        <x:v>0</x:v>
      </x:c>
      <x:c r="O16" s="107" t="str">
        <x:v>NO CONTRATADA</x:v>
      </x:c>
      <x:c r="P16" s="109" t="n">
        <x:f>IF(AND(E16="Sí",O16="ACEPTADA"),K16,0)</x:f>
        <x:v>0</x:v>
      </x:c>
      <x:c r="Q16" s="109" t="n">
        <x:f>IF(E16="Sí",K16*N16,0)</x:f>
        <x:v>0</x:v>
      </x:c>
      <x:c r="R16" s="104" t="str">
        <x:v>Cada KPI tiene definición reproducible y límites de interpretación.</x:v>
      </x:c>
      <x:c r="S16" s="104" t="str">
        <x:v>Documento + consultas</x:v>
      </x:c>
      <x:c r="T16" s="104" t="str">
        <x:v>DIG.KPI.01</x:v>
      </x:c>
      <x:c r="U16" s="107" t="str"/>
    </x:row>
    <x:row r="17">
      <x:c r="A17" s="104" t="str">
        <x:v>DIG.KPI.03</x:v>
      </x:c>
      <x:c r="B17" s="104" t="str">
        <x:v>Indicadores de digitalización</x:v>
      </x:c>
      <x:c r="C17" s="104" t="str">
        <x:v>Extraer dataset reproducible desde AulaFlow</x:v>
      </x:c>
      <x:c r="D17" s="104" t="str">
        <x:v>OPT</x:v>
      </x:c>
      <x:c r="E17" s="107" t="str">
        <x:v>No</x:v>
      </x:c>
      <x:c r="F17" s="104" t="str">
        <x:v>H4</x:v>
      </x:c>
      <x:c r="G17" s="107"/>
      <x:c r="H17" s="104" t="n">
        <x:v>4</x:v>
      </x:c>
      <x:c r="I17" s="107" t="n">
        <x:v>4</x:v>
      </x:c>
      <x:c r="J17" s="107"/>
      <x:c r="K17" s="104" t="n">
        <x:v>2</x:v>
      </x:c>
      <x:c r="L17" s="107"/>
      <x:c r="M17" s="107"/>
      <x:c r="N17" s="108" t="n">
        <x:v>0</x:v>
      </x:c>
      <x:c r="O17" s="107" t="str">
        <x:v>NO CONTRATADA</x:v>
      </x:c>
      <x:c r="P17" s="109" t="n">
        <x:f>IF(AND(E17="Sí",O17="ACEPTADA"),K17,0)</x:f>
        <x:v>0</x:v>
      </x:c>
      <x:c r="Q17" s="109" t="n">
        <x:f>IF(E17="Sí",K17*N17,0)</x:f>
        <x:v>0</x:v>
      </x:c>
      <x:c r="R17" s="104" t="str">
        <x:v>Los datos pueden regenerarse y no incluyen información personal innecesaria.</x:v>
      </x:c>
      <x:c r="S17" s="104" t="str">
        <x:v>Consulta/export + dataset ficticio</x:v>
      </x:c>
      <x:c r="T17" s="104" t="str">
        <x:v>AD API/datos</x:v>
      </x:c>
      <x:c r="U17" s="107" t="str"/>
    </x:row>
    <x:row r="18">
      <x:c r="A18" s="104" t="str">
        <x:v>DIG.KPI.04</x:v>
      </x:c>
      <x:c r="B18" s="104" t="str">
        <x:v>Indicadores de digitalización</x:v>
      </x:c>
      <x:c r="C18" s="104" t="str">
        <x:v>Construir dashboard o informe de indicadores</x:v>
      </x:c>
      <x:c r="D18" s="104" t="str">
        <x:v>OPT</x:v>
      </x:c>
      <x:c r="E18" s="107" t="str">
        <x:v>No</x:v>
      </x:c>
      <x:c r="F18" s="104" t="str">
        <x:v>H4</x:v>
      </x:c>
      <x:c r="G18" s="107"/>
      <x:c r="H18" s="104" t="n">
        <x:v>4</x:v>
      </x:c>
      <x:c r="I18" s="107" t="n">
        <x:v>4</x:v>
      </x:c>
      <x:c r="J18" s="107"/>
      <x:c r="K18" s="104" t="n">
        <x:v>2</x:v>
      </x:c>
      <x:c r="L18" s="107"/>
      <x:c r="M18" s="107"/>
      <x:c r="N18" s="108" t="n">
        <x:v>0</x:v>
      </x:c>
      <x:c r="O18" s="107" t="str">
        <x:v>NO CONTRATADA</x:v>
      </x:c>
      <x:c r="P18" s="109" t="n">
        <x:f>IF(AND(E18="Sí",O18="ACEPTADA"),K18,0)</x:f>
        <x:v>0</x:v>
      </x:c>
      <x:c r="Q18" s="109" t="n">
        <x:f>IF(E18="Sí",K18*N18,0)</x:f>
        <x:v>0</x:v>
      </x:c>
      <x:c r="R18" s="104" t="str">
        <x:v>El dashboard usa los KPIs definidos y muestra fecha/fuente de datos.</x:v>
      </x:c>
      <x:c r="S18" s="104" t="str">
        <x:v>Dashboard/informe</x:v>
      </x:c>
      <x:c r="T18" s="104" t="str">
        <x:v>DIG.KPI.02; DIG.KPI.03</x:v>
      </x:c>
      <x:c r="U18" s="107" t="str"/>
    </x:row>
    <x:row r="19">
      <x:c r="A19" s="104" t="str">
        <x:v>DIG.KPI.05</x:v>
      </x:c>
      <x:c r="B19" s="104" t="str">
        <x:v>Indicadores de digitalización</x:v>
      </x:c>
      <x:c r="C19" s="104" t="str">
        <x:v>Comparar dos periodos/estados del sistema</x:v>
      </x:c>
      <x:c r="D19" s="104" t="str">
        <x:v>OPT</x:v>
      </x:c>
      <x:c r="E19" s="107" t="str">
        <x:v>No</x:v>
      </x:c>
      <x:c r="F19" s="104" t="str">
        <x:v>H5</x:v>
      </x:c>
      <x:c r="G19" s="107"/>
      <x:c r="H19" s="104" t="n">
        <x:v>3</x:v>
      </x:c>
      <x:c r="I19" s="107" t="n">
        <x:v>3</x:v>
      </x:c>
      <x:c r="J19" s="107"/>
      <x:c r="K19" s="104" t="n">
        <x:v>2</x:v>
      </x:c>
      <x:c r="L19" s="107"/>
      <x:c r="M19" s="107"/>
      <x:c r="N19" s="108" t="n">
        <x:v>0</x:v>
      </x:c>
      <x:c r="O19" s="107" t="str">
        <x:v>NO CONTRATADA</x:v>
      </x:c>
      <x:c r="P19" s="109" t="n">
        <x:f>IF(AND(E19="Sí",O19="ACEPTADA"),K19,0)</x:f>
        <x:v>0</x:v>
      </x:c>
      <x:c r="Q19" s="109" t="n">
        <x:f>IF(E19="Sí",K19*N19,0)</x:f>
        <x:v>0</x:v>
      </x:c>
      <x:c r="R19" s="104" t="str">
        <x:v>La comparación usa la misma definición y explica cambios relevantes.</x:v>
      </x:c>
      <x:c r="S19" s="104" t="str">
        <x:v>Informe comparativo</x:v>
      </x:c>
      <x:c r="T19" s="104" t="str">
        <x:v>DIG.KPI.04</x:v>
      </x:c>
      <x:c r="U19" s="107" t="str"/>
    </x:row>
    <x:row r="20">
      <x:c r="A20" s="104" t="str">
        <x:v>DIG.KPI.06</x:v>
      </x:c>
      <x:c r="B20" s="104" t="str">
        <x:v>Indicadores de digitalización</x:v>
      </x:c>
      <x:c r="C20" s="104" t="str">
        <x:v>Proponer una decisión de mejora basada en evidencia</x:v>
      </x:c>
      <x:c r="D20" s="104" t="str">
        <x:v>OPT</x:v>
      </x:c>
      <x:c r="E20" s="107" t="str">
        <x:v>No</x:v>
      </x:c>
      <x:c r="F20" s="104" t="str">
        <x:v>H5</x:v>
      </x:c>
      <x:c r="G20" s="107"/>
      <x:c r="H20" s="104" t="n">
        <x:v>2</x:v>
      </x:c>
      <x:c r="I20" s="107" t="n">
        <x:v>2</x:v>
      </x:c>
      <x:c r="J20" s="107"/>
      <x:c r="K20" s="104" t="n">
        <x:v>1</x:v>
      </x:c>
      <x:c r="L20" s="107"/>
      <x:c r="M20" s="107"/>
      <x:c r="N20" s="108" t="n">
        <x:v>0</x:v>
      </x:c>
      <x:c r="O20" s="107" t="str">
        <x:v>NO CONTRATADA</x:v>
      </x:c>
      <x:c r="P20" s="109" t="n">
        <x:f>IF(AND(E20="Sí",O20="ACEPTADA"),K20,0)</x:f>
        <x:v>0</x:v>
      </x:c>
      <x:c r="Q20" s="109" t="n">
        <x:f>IF(E20="Sí",K20*N20,0)</x:f>
        <x:v>0</x:v>
      </x:c>
      <x:c r="R20" s="104" t="str">
        <x:v>La recomendación se apoya en datos y reconoce incertidumbres.</x:v>
      </x:c>
      <x:c r="S20" s="104" t="str">
        <x:v>ADR/miniinforme</x:v>
      </x:c>
      <x:c r="T20" s="104" t="str">
        <x:v>DIG.KPI.05</x:v>
      </x:c>
      <x:c r="U20" s="107" t="str"/>
    </x:row>
    <x:row r="21">
      <x:c r="A21" s="104" t="str">
        <x:v>DIG.AI.01</x:v>
      </x:c>
      <x:c r="B21" s="104" t="str">
        <x:v>IA aplicada</x:v>
      </x:c>
      <x:c r="C21" s="104" t="str">
        <x:v>Definir una función de IA acotada y útil para AulaFlow</x:v>
      </x:c>
      <x:c r="D21" s="104" t="str">
        <x:v>ADV</x:v>
      </x:c>
      <x:c r="E21" s="107" t="str">
        <x:v>No</x:v>
      </x:c>
      <x:c r="F21" s="104" t="str">
        <x:v>H4</x:v>
      </x:c>
      <x:c r="G21" s="107"/>
      <x:c r="H21" s="104" t="n">
        <x:v>3</x:v>
      </x:c>
      <x:c r="I21" s="107" t="n">
        <x:v>3</x:v>
      </x:c>
      <x:c r="J21" s="107"/>
      <x:c r="K21" s="104" t="n">
        <x:v>2</x:v>
      </x:c>
      <x:c r="L21" s="107"/>
      <x:c r="M21" s="107"/>
      <x:c r="N21" s="108" t="n">
        <x:v>0</x:v>
      </x:c>
      <x:c r="O21" s="107" t="str">
        <x:v>NO CONTRATADA</x:v>
      </x:c>
      <x:c r="P21" s="109" t="n">
        <x:f>IF(AND(E21="Sí",O21="ACEPTADA"),K21,0)</x:f>
        <x:v>0</x:v>
      </x:c>
      <x:c r="Q21" s="109" t="n">
        <x:f>IF(E21="Sí",K21*N21,0)</x:f>
        <x:v>0</x:v>
      </x:c>
      <x:c r="R21" s="104" t="str">
        <x:v>La función tiene usuario, entrada, salida y riesgo definidos; no sustituye una decisión crítica.</x:v>
      </x:c>
      <x:c r="S21" s="104" t="str">
        <x:v>Spec</x:v>
      </x:c>
      <x:c r="T21" s="104" t="str">
        <x:v>Privacidad/modelo permitido</x:v>
      </x:c>
      <x:c r="U21" s="107" t="str"/>
    </x:row>
    <x:row r="22">
      <x:c r="A22" s="104" t="str">
        <x:v>DIG.AI.02</x:v>
      </x:c>
      <x:c r="B22" s="104" t="str">
        <x:v>IA aplicada</x:v>
      </x:c>
      <x:c r="C22" s="104" t="str">
        <x:v>Preparar dataset/contexto de prueba sin datos sensibles</x:v>
      </x:c>
      <x:c r="D22" s="104" t="str">
        <x:v>ADV</x:v>
      </x:c>
      <x:c r="E22" s="107" t="str">
        <x:v>No</x:v>
      </x:c>
      <x:c r="F22" s="104" t="str">
        <x:v>H4</x:v>
      </x:c>
      <x:c r="G22" s="107"/>
      <x:c r="H22" s="104" t="n">
        <x:v>3</x:v>
      </x:c>
      <x:c r="I22" s="107" t="n">
        <x:v>3</x:v>
      </x:c>
      <x:c r="J22" s="107"/>
      <x:c r="K22" s="104" t="n">
        <x:v>2</x:v>
      </x:c>
      <x:c r="L22" s="107"/>
      <x:c r="M22" s="107"/>
      <x:c r="N22" s="108" t="n">
        <x:v>0</x:v>
      </x:c>
      <x:c r="O22" s="107" t="str">
        <x:v>NO CONTRATADA</x:v>
      </x:c>
      <x:c r="P22" s="109" t="n">
        <x:f>IF(AND(E22="Sí",O22="ACEPTADA"),K22,0)</x:f>
        <x:v>0</x:v>
      </x:c>
      <x:c r="Q22" s="109" t="n">
        <x:f>IF(E22="Sí",K22*N22,0)</x:f>
        <x:v>0</x:v>
      </x:c>
      <x:c r="R22" s="104" t="str">
        <x:v>Los ejemplos son ficticios o anonimizados y reproducibles.</x:v>
      </x:c>
      <x:c r="S22" s="104" t="str">
        <x:v>Dataset de prueba</x:v>
      </x:c>
      <x:c r="T22" s="104" t="str">
        <x:v>DIG.AI.01</x:v>
      </x:c>
      <x:c r="U22" s="107" t="str"/>
    </x:row>
    <x:row r="23">
      <x:c r="A23" s="104" t="str">
        <x:v>DIG.AI.03</x:v>
      </x:c>
      <x:c r="B23" s="104" t="str">
        <x:v>IA aplicada</x:v>
      </x:c>
      <x:c r="C23" s="104" t="str">
        <x:v>Implementar llamada al modelo/servicio con configuración externa</x:v>
      </x:c>
      <x:c r="D23" s="104" t="str">
        <x:v>ADV</x:v>
      </x:c>
      <x:c r="E23" s="107" t="str">
        <x:v>No</x:v>
      </x:c>
      <x:c r="F23" s="104" t="str">
        <x:v>H4</x:v>
      </x:c>
      <x:c r="G23" s="107"/>
      <x:c r="H23" s="104" t="n">
        <x:v>5</x:v>
      </x:c>
      <x:c r="I23" s="107" t="n">
        <x:v>5</x:v>
      </x:c>
      <x:c r="J23" s="107"/>
      <x:c r="K23" s="104" t="n">
        <x:v>3</x:v>
      </x:c>
      <x:c r="L23" s="107"/>
      <x:c r="M23" s="107"/>
      <x:c r="N23" s="108" t="n">
        <x:v>0</x:v>
      </x:c>
      <x:c r="O23" s="107" t="str">
        <x:v>NO CONTRATADA</x:v>
      </x:c>
      <x:c r="P23" s="109" t="n">
        <x:f>IF(AND(E23="Sí",O23="ACEPTADA"),K23,0)</x:f>
        <x:v>0</x:v>
      </x:c>
      <x:c r="Q23" s="109" t="n">
        <x:f>IF(E23="Sí",K23*N23,0)</x:f>
        <x:v>0</x:v>
      </x:c>
      <x:c r="R23" s="104" t="str">
        <x:v>Claves no están en repositorio y fallos del proveedor se gestionan.</x:v>
      </x:c>
      <x:c r="S23" s="104" t="str">
        <x:v>Código + test mock</x:v>
      </x:c>
      <x:c r="T23" s="104" t="str">
        <x:v>DIG.AI.01</x:v>
      </x:c>
      <x:c r="U23" s="107" t="str"/>
    </x:row>
    <x:row r="24">
      <x:c r="A24" s="104" t="str">
        <x:v>DIG.AI.04</x:v>
      </x:c>
      <x:c r="B24" s="104" t="str">
        <x:v>IA aplicada</x:v>
      </x:c>
      <x:c r="C24" s="104" t="str">
        <x:v>Añadir revisión humana aceptar/modificar/rechazar</x:v>
      </x:c>
      <x:c r="D24" s="104" t="str">
        <x:v>ADV</x:v>
      </x:c>
      <x:c r="E24" s="107" t="str">
        <x:v>No</x:v>
      </x:c>
      <x:c r="F24" s="104" t="str">
        <x:v>H4</x:v>
      </x:c>
      <x:c r="G24" s="107"/>
      <x:c r="H24" s="104" t="n">
        <x:v>4</x:v>
      </x:c>
      <x:c r="I24" s="107" t="n">
        <x:v>4</x:v>
      </x:c>
      <x:c r="J24" s="107"/>
      <x:c r="K24" s="104" t="n">
        <x:v>2</x:v>
      </x:c>
      <x:c r="L24" s="107"/>
      <x:c r="M24" s="107"/>
      <x:c r="N24" s="108" t="n">
        <x:v>0</x:v>
      </x:c>
      <x:c r="O24" s="107" t="str">
        <x:v>NO CONTRATADA</x:v>
      </x:c>
      <x:c r="P24" s="109" t="n">
        <x:f>IF(AND(E24="Sí",O24="ACEPTADA"),K24,0)</x:f>
        <x:v>0</x:v>
      </x:c>
      <x:c r="Q24" s="109" t="n">
        <x:f>IF(E24="Sí",K24*N24,0)</x:f>
        <x:v>0</x:v>
      </x:c>
      <x:c r="R24" s="104" t="str">
        <x:v>El usuario controla el resultado antes de producir efectos persistentes.</x:v>
      </x:c>
      <x:c r="S24" s="104" t="str">
        <x:v>Demo UX</x:v>
      </x:c>
      <x:c r="T24" s="104" t="str">
        <x:v>DIG.AI.03</x:v>
      </x:c>
      <x:c r="U24" s="107" t="str"/>
    </x:row>
    <x:row r="25">
      <x:c r="A25" s="104" t="str">
        <x:v>DIG.AI.05</x:v>
      </x:c>
      <x:c r="B25" s="104" t="str">
        <x:v>IA aplicada</x:v>
      </x:c>
      <x:c r="C25" s="104" t="str">
        <x:v>Registrar entrada/salida/decisión con privacidad adecuada</x:v>
      </x:c>
      <x:c r="D25" s="104" t="str">
        <x:v>ADV</x:v>
      </x:c>
      <x:c r="E25" s="107" t="str">
        <x:v>No</x:v>
      </x:c>
      <x:c r="F25" s="104" t="str">
        <x:v>H5</x:v>
      </x:c>
      <x:c r="G25" s="107"/>
      <x:c r="H25" s="104" t="n">
        <x:v>4</x:v>
      </x:c>
      <x:c r="I25" s="107" t="n">
        <x:v>4</x:v>
      </x:c>
      <x:c r="J25" s="107"/>
      <x:c r="K25" s="104" t="n">
        <x:v>2</x:v>
      </x:c>
      <x:c r="L25" s="107"/>
      <x:c r="M25" s="107"/>
      <x:c r="N25" s="108" t="n">
        <x:v>0</x:v>
      </x:c>
      <x:c r="O25" s="107" t="str">
        <x:v>NO CONTRATADA</x:v>
      </x:c>
      <x:c r="P25" s="109" t="n">
        <x:f>IF(AND(E25="Sí",O25="ACEPTADA"),K25,0)</x:f>
        <x:v>0</x:v>
      </x:c>
      <x:c r="Q25" s="109" t="n">
        <x:f>IF(E25="Sí",K25*N25,0)</x:f>
        <x:v>0</x:v>
      </x:c>
      <x:c r="R25" s="104" t="str">
        <x:v>Existe trazabilidad suficiente sin almacenar secretos o datos innecesarios.</x:v>
      </x:c>
      <x:c r="S25" s="104" t="str">
        <x:v>Log/auditoría de prueba</x:v>
      </x:c>
      <x:c r="T25" s="104" t="str">
        <x:v>DIG.AI.04</x:v>
      </x:c>
      <x:c r="U25" s="107" t="str"/>
    </x:row>
    <x:row r="26">
      <x:c r="A26" s="104" t="str">
        <x:v>DIG.AI.06</x:v>
      </x:c>
      <x:c r="B26" s="104" t="str">
        <x:v>IA aplicada</x:v>
      </x:c>
      <x:c r="C26" s="104" t="str">
        <x:v>Evaluar calidad con conjunto de casos y criterios</x:v>
      </x:c>
      <x:c r="D26" s="104" t="str">
        <x:v>ADV</x:v>
      </x:c>
      <x:c r="E26" s="107" t="str">
        <x:v>No</x:v>
      </x:c>
      <x:c r="F26" s="104" t="str">
        <x:v>H5</x:v>
      </x:c>
      <x:c r="G26" s="107"/>
      <x:c r="H26" s="104" t="n">
        <x:v>4</x:v>
      </x:c>
      <x:c r="I26" s="107" t="n">
        <x:v>4</x:v>
      </x:c>
      <x:c r="J26" s="107"/>
      <x:c r="K26" s="104" t="n">
        <x:v>2</x:v>
      </x:c>
      <x:c r="L26" s="107"/>
      <x:c r="M26" s="107"/>
      <x:c r="N26" s="108" t="n">
        <x:v>0</x:v>
      </x:c>
      <x:c r="O26" s="107" t="str">
        <x:v>NO CONTRATADA</x:v>
      </x:c>
      <x:c r="P26" s="109" t="n">
        <x:f>IF(AND(E26="Sí",O26="ACEPTADA"),K26,0)</x:f>
        <x:v>0</x:v>
      </x:c>
      <x:c r="Q26" s="109" t="n">
        <x:f>IF(E26="Sí",K26*N26,0)</x:f>
        <x:v>0</x:v>
      </x:c>
      <x:c r="R26" s="104" t="str">
        <x:v>Se prueban varios casos correctos/fallidos y se documentan límites.</x:v>
      </x:c>
      <x:c r="S26" s="104" t="str">
        <x:v>Informe de evaluación</x:v>
      </x:c>
      <x:c r="T26" s="104" t="str">
        <x:v>DIG.AI.03</x:v>
      </x:c>
      <x:c r="U26" s="107" t="str"/>
    </x:row>
    <x:row r="27">
      <x:c r="A27" s="104" t="str">
        <x:v>DIG.AI.07</x:v>
      </x:c>
      <x:c r="B27" s="104" t="str">
        <x:v>IA aplicada</x:v>
      </x:c>
      <x:c r="C27" s="104" t="str">
        <x:v>Implementar fallback cuando IA no está disponible</x:v>
      </x:c>
      <x:c r="D27" s="104" t="str">
        <x:v>ADV</x:v>
      </x:c>
      <x:c r="E27" s="107" t="str">
        <x:v>No</x:v>
      </x:c>
      <x:c r="F27" s="104" t="str">
        <x:v>H5</x:v>
      </x:c>
      <x:c r="G27" s="107"/>
      <x:c r="H27" s="104" t="n">
        <x:v>3</x:v>
      </x:c>
      <x:c r="I27" s="107" t="n">
        <x:v>3</x:v>
      </x:c>
      <x:c r="J27" s="107"/>
      <x:c r="K27" s="104" t="n">
        <x:v>2</x:v>
      </x:c>
      <x:c r="L27" s="107"/>
      <x:c r="M27" s="107"/>
      <x:c r="N27" s="108" t="n">
        <x:v>0</x:v>
      </x:c>
      <x:c r="O27" s="107" t="str">
        <x:v>NO CONTRATADA</x:v>
      </x:c>
      <x:c r="P27" s="109" t="n">
        <x:f>IF(AND(E27="Sí",O27="ACEPTADA"),K27,0)</x:f>
        <x:v>0</x:v>
      </x:c>
      <x:c r="Q27" s="109" t="n">
        <x:f>IF(E27="Sí",K27*N27,0)</x:f>
        <x:v>0</x:v>
      </x:c>
      <x:c r="R27" s="104" t="str">
        <x:v>La aplicación sigue siendo utilizable y comunica la degradación.</x:v>
      </x:c>
      <x:c r="S27" s="104" t="str">
        <x:v>Test fallo proveedor</x:v>
      </x:c>
      <x:c r="T27" s="104" t="str">
        <x:v>DIG.AI.03</x:v>
      </x:c>
      <x:c r="U27" s="107" t="str"/>
    </x:row>
    <x:row r="28">
      <x:c r="A28"/>
      <x:c r="B28"/>
      <x:c r="C28"/>
      <x:c r="D28"/>
      <x:c r="E28"/>
      <x:c r="F28"/>
      <x:c r="G28"/>
      <x:c r="H28"/>
      <x:c r="I28"/>
      <x:c r="J28"/>
      <x:c r="K28"/>
      <x:c r="L28"/>
      <x:c r="M28"/>
      <x:c r="N28"/>
      <x:c r="O28"/>
      <x:c r="P28"/>
      <x:c r="Q28"/>
      <x:c r="R28"/>
      <x:c r="S28"/>
      <x:c r="T28"/>
      <x:c r="U28"/>
    </x:row>
    <x:row r="29">
      <x:c r="A29"/>
      <x:c r="B29"/>
      <x:c r="C29"/>
      <x:c r="D29"/>
      <x:c r="E29"/>
      <x:c r="F29"/>
      <x:c r="G29"/>
      <x:c r="H29"/>
      <x:c r="I29"/>
      <x:c r="J29"/>
      <x:c r="K29"/>
      <x:c r="L29"/>
      <x:c r="M29"/>
      <x:c r="N29"/>
      <x:c r="O29"/>
      <x:c r="P29"/>
      <x:c r="Q29"/>
      <x:c r="R29"/>
      <x:c r="S29"/>
      <x:c r="T29"/>
      <x:c r="U29"/>
    </x:row>
    <x:row r="30">
      <x:c r="A30"/>
      <x:c r="B30"/>
      <x:c r="C30"/>
      <x:c r="D30"/>
      <x:c r="E30"/>
      <x:c r="F30"/>
      <x:c r="G30"/>
      <x:c r="H30"/>
      <x:c r="I30"/>
      <x:c r="J30"/>
      <x:c r="K30"/>
      <x:c r="L30"/>
      <x:c r="M30"/>
      <x:c r="N30"/>
      <x:c r="O30"/>
      <x:c r="P30"/>
      <x:c r="Q30"/>
      <x:c r="R30"/>
      <x:c r="S30"/>
      <x:c r="T30"/>
      <x:c r="U30"/>
    </x:row>
    <x:row r="31">
      <x:c r="A31"/>
      <x:c r="B31"/>
      <x:c r="C31"/>
      <x:c r="D31"/>
      <x:c r="E31"/>
      <x:c r="F31"/>
      <x:c r="G31"/>
      <x:c r="H31"/>
      <x:c r="I31"/>
      <x:c r="J31"/>
      <x:c r="K31"/>
      <x:c r="L31"/>
      <x:c r="M31"/>
      <x:c r="N31"/>
      <x:c r="O31"/>
      <x:c r="P31"/>
      <x:c r="Q31"/>
      <x:c r="R31"/>
      <x:c r="S31"/>
      <x:c r="T31"/>
      <x:c r="U31"/>
    </x:row>
    <x:row r="32">
      <x:c r="A32"/>
      <x:c r="B32"/>
      <x:c r="C32"/>
      <x:c r="D32"/>
      <x:c r="E32"/>
      <x:c r="F32"/>
      <x:c r="G32"/>
      <x:c r="H32"/>
      <x:c r="I32"/>
      <x:c r="J32"/>
      <x:c r="K32"/>
      <x:c r="L32"/>
      <x:c r="M32"/>
      <x:c r="N32"/>
      <x:c r="O32"/>
      <x:c r="P32"/>
      <x:c r="Q32"/>
      <x:c r="R32"/>
      <x:c r="S32"/>
      <x:c r="T32"/>
      <x:c r="U32"/>
    </x:row>
    <x:row r="33">
      <x:c r="A33"/>
      <x:c r="B33"/>
      <x:c r="C33"/>
      <x:c r="D33"/>
      <x:c r="E33"/>
      <x:c r="F33"/>
      <x:c r="G33"/>
      <x:c r="H33"/>
      <x:c r="I33"/>
      <x:c r="J33"/>
      <x:c r="K33"/>
      <x:c r="L33"/>
      <x:c r="M33"/>
      <x:c r="N33"/>
      <x:c r="O33"/>
      <x:c r="P33"/>
      <x:c r="Q33"/>
      <x:c r="R33"/>
      <x:c r="S33"/>
      <x:c r="T33"/>
      <x:c r="U33"/>
    </x:row>
    <x:row r="34">
      <x:c r="A34"/>
      <x:c r="B34"/>
      <x:c r="C34"/>
      <x:c r="D34"/>
      <x:c r="E34"/>
      <x:c r="F34"/>
      <x:c r="G34"/>
      <x:c r="H34"/>
      <x:c r="I34"/>
      <x:c r="J34"/>
      <x:c r="K34"/>
      <x:c r="L34"/>
      <x:c r="M34"/>
      <x:c r="N34"/>
      <x:c r="O34"/>
      <x:c r="P34"/>
      <x:c r="Q34"/>
      <x:c r="R34"/>
      <x:c r="S34"/>
      <x:c r="T34"/>
      <x:c r="U34"/>
    </x:row>
    <x:row r="35">
      <x:c r="A35"/>
      <x:c r="B35"/>
      <x:c r="C35"/>
      <x:c r="D35"/>
      <x:c r="E35"/>
      <x:c r="F35"/>
      <x:c r="G35"/>
      <x:c r="H35"/>
      <x:c r="I35"/>
      <x:c r="J35"/>
      <x:c r="K35"/>
      <x:c r="L35"/>
      <x:c r="M35"/>
      <x:c r="N35"/>
      <x:c r="O35"/>
      <x:c r="P35"/>
      <x:c r="Q35"/>
      <x:c r="R35"/>
      <x:c r="S35"/>
      <x:c r="T35"/>
      <x:c r="U35"/>
    </x:row>
    <x:row r="36">
      <x:c r="A36"/>
      <x:c r="B36"/>
      <x:c r="C36"/>
      <x:c r="D36"/>
      <x:c r="E36"/>
      <x:c r="F36"/>
      <x:c r="G36"/>
      <x:c r="H36"/>
      <x:c r="I36"/>
      <x:c r="J36"/>
      <x:c r="K36"/>
      <x:c r="L36"/>
      <x:c r="M36"/>
      <x:c r="N36"/>
      <x:c r="O36"/>
      <x:c r="P36"/>
      <x:c r="Q36"/>
      <x:c r="R36"/>
      <x:c r="S36"/>
      <x:c r="T36"/>
      <x:c r="U36"/>
    </x:row>
    <x:row r="37">
      <x:c r="A37"/>
      <x:c r="B37"/>
      <x:c r="C37"/>
      <x:c r="D37"/>
      <x:c r="E37"/>
      <x:c r="F37"/>
      <x:c r="G37"/>
      <x:c r="H37"/>
      <x:c r="I37"/>
      <x:c r="J37"/>
      <x:c r="K37"/>
      <x:c r="L37"/>
      <x:c r="M37"/>
      <x:c r="N37"/>
      <x:c r="O37"/>
      <x:c r="P37"/>
      <x:c r="Q37"/>
      <x:c r="R37"/>
      <x:c r="S37"/>
      <x:c r="T37"/>
      <x:c r="U37"/>
    </x:row>
    <x:row r="38">
      <x:c r="A38"/>
      <x:c r="B38"/>
      <x:c r="C38"/>
      <x:c r="D38"/>
      <x:c r="E38"/>
      <x:c r="F38"/>
      <x:c r="G38"/>
      <x:c r="H38"/>
      <x:c r="I38"/>
      <x:c r="J38"/>
      <x:c r="K38"/>
      <x:c r="L38"/>
      <x:c r="M38"/>
      <x:c r="N38"/>
      <x:c r="O38"/>
      <x:c r="P38"/>
      <x:c r="Q38"/>
      <x:c r="R38"/>
      <x:c r="S38"/>
      <x:c r="T38"/>
      <x:c r="U38"/>
    </x:row>
    <x:row r="39">
      <x:c r="A39"/>
      <x:c r="B39"/>
      <x:c r="C39"/>
      <x:c r="D39"/>
      <x:c r="E39"/>
      <x:c r="F39"/>
      <x:c r="G39"/>
      <x:c r="H39"/>
      <x:c r="I39"/>
      <x:c r="J39"/>
      <x:c r="K39"/>
      <x:c r="L39"/>
      <x:c r="M39"/>
      <x:c r="N39"/>
      <x:c r="O39"/>
      <x:c r="P39"/>
      <x:c r="Q39"/>
      <x:c r="R39"/>
      <x:c r="S39"/>
      <x:c r="T39"/>
      <x:c r="U39"/>
    </x:row>
    <x:row r="40">
      <x:c r="A40"/>
      <x:c r="B40"/>
      <x:c r="C40"/>
      <x:c r="D40"/>
      <x:c r="E40"/>
      <x:c r="F40"/>
      <x:c r="G40"/>
      <x:c r="H40"/>
      <x:c r="I40"/>
      <x:c r="J40"/>
      <x:c r="K40"/>
      <x:c r="L40"/>
      <x:c r="M40"/>
      <x:c r="N40"/>
      <x:c r="O40"/>
      <x:c r="P40"/>
      <x:c r="Q40"/>
      <x:c r="R40"/>
      <x:c r="S40"/>
      <x:c r="T40"/>
      <x:c r="U40"/>
    </x:row>
    <x:row r="41">
      <x:c r="A41"/>
      <x:c r="B41"/>
      <x:c r="C41"/>
      <x:c r="D41"/>
      <x:c r="E41"/>
      <x:c r="F41"/>
      <x:c r="G41"/>
      <x:c r="H41"/>
      <x:c r="I41"/>
      <x:c r="J41"/>
      <x:c r="K41"/>
      <x:c r="L41"/>
      <x:c r="M41"/>
      <x:c r="N41"/>
      <x:c r="O41"/>
      <x:c r="P41"/>
      <x:c r="Q41"/>
      <x:c r="R41"/>
      <x:c r="S41"/>
      <x:c r="T41"/>
      <x:c r="U41"/>
    </x:row>
    <x:row r="42">
      <x:c r="A42"/>
      <x:c r="B42"/>
      <x:c r="C42"/>
      <x:c r="D42"/>
      <x:c r="E42"/>
      <x:c r="F42"/>
      <x:c r="G42"/>
      <x:c r="H42"/>
      <x:c r="I42"/>
      <x:c r="J42"/>
      <x:c r="K42"/>
      <x:c r="L42"/>
      <x:c r="M42"/>
      <x:c r="N42"/>
      <x:c r="O42"/>
      <x:c r="P42"/>
      <x:c r="Q42"/>
      <x:c r="R42"/>
      <x:c r="S42"/>
      <x:c r="T42"/>
      <x:c r="U42"/>
    </x:row>
    <x:row r="43">
      <x:c r="A43"/>
      <x:c r="B43"/>
      <x:c r="C43"/>
      <x:c r="D43"/>
      <x:c r="E43"/>
      <x:c r="F43"/>
      <x:c r="G43"/>
      <x:c r="H43"/>
      <x:c r="I43"/>
      <x:c r="J43"/>
      <x:c r="K43"/>
      <x:c r="L43"/>
      <x:c r="M43"/>
      <x:c r="N43"/>
      <x:c r="O43"/>
      <x:c r="P43"/>
      <x:c r="Q43"/>
      <x:c r="R43"/>
      <x:c r="S43"/>
      <x:c r="T43"/>
      <x:c r="U43"/>
    </x:row>
    <x:row r="44">
      <x:c r="A44"/>
      <x:c r="B44"/>
      <x:c r="C44"/>
      <x:c r="D44"/>
      <x:c r="E44"/>
      <x:c r="F44"/>
      <x:c r="G44"/>
      <x:c r="H44"/>
      <x:c r="I44"/>
      <x:c r="J44"/>
      <x:c r="K44"/>
      <x:c r="L44"/>
      <x:c r="M44"/>
      <x:c r="N44"/>
      <x:c r="O44"/>
      <x:c r="P44"/>
      <x:c r="Q44"/>
      <x:c r="R44"/>
      <x:c r="S44"/>
      <x:c r="T44"/>
      <x:c r="U44"/>
    </x:row>
    <x:row r="45">
      <x:c r="A45"/>
      <x:c r="B45"/>
      <x:c r="C45"/>
      <x:c r="D45"/>
      <x:c r="E45"/>
      <x:c r="F45"/>
      <x:c r="G45"/>
      <x:c r="H45"/>
      <x:c r="I45"/>
      <x:c r="J45"/>
      <x:c r="K45"/>
      <x:c r="L45"/>
      <x:c r="M45"/>
      <x:c r="N45"/>
      <x:c r="O45"/>
      <x:c r="P45"/>
      <x:c r="Q45"/>
      <x:c r="R45"/>
      <x:c r="S45"/>
      <x:c r="T45"/>
      <x:c r="U45"/>
    </x:row>
    <x:row r="46">
      <x:c r="A46"/>
      <x:c r="B46"/>
      <x:c r="C46"/>
      <x:c r="D46"/>
      <x:c r="E46"/>
      <x:c r="F46"/>
      <x:c r="G46"/>
      <x:c r="H46"/>
      <x:c r="I46"/>
      <x:c r="J46"/>
      <x:c r="K46"/>
      <x:c r="L46"/>
      <x:c r="M46"/>
      <x:c r="N46"/>
      <x:c r="O46"/>
      <x:c r="P46"/>
      <x:c r="Q46"/>
      <x:c r="R46"/>
      <x:c r="S46"/>
      <x:c r="T46"/>
      <x:c r="U46"/>
    </x:row>
    <x:row r="47">
      <x:c r="A47"/>
      <x:c r="B47"/>
      <x:c r="C47"/>
      <x:c r="D47"/>
      <x:c r="E47"/>
      <x:c r="F47"/>
      <x:c r="G47"/>
      <x:c r="H47"/>
      <x:c r="I47"/>
      <x:c r="J47"/>
      <x:c r="K47"/>
      <x:c r="L47"/>
      <x:c r="M47"/>
      <x:c r="N47"/>
      <x:c r="O47"/>
      <x:c r="P47"/>
      <x:c r="Q47"/>
      <x:c r="R47"/>
      <x:c r="S47"/>
      <x:c r="T47"/>
      <x:c r="U47"/>
    </x:row>
    <x:row r="48">
      <x:c r="A48"/>
      <x:c r="B48"/>
      <x:c r="C48"/>
      <x:c r="D48"/>
      <x:c r="E48"/>
      <x:c r="F48"/>
      <x:c r="G48"/>
      <x:c r="H48"/>
      <x:c r="I48"/>
      <x:c r="J48"/>
      <x:c r="K48"/>
      <x:c r="L48"/>
      <x:c r="M48"/>
      <x:c r="N48"/>
      <x:c r="O48"/>
      <x:c r="P48"/>
      <x:c r="Q48"/>
      <x:c r="R48"/>
      <x:c r="S48"/>
      <x:c r="T48"/>
      <x:c r="U48"/>
    </x:row>
    <x:row r="49">
      <x:c r="A49"/>
      <x:c r="B49"/>
      <x:c r="C49"/>
      <x:c r="D49"/>
      <x:c r="E49"/>
      <x:c r="F49"/>
      <x:c r="G49"/>
      <x:c r="H49"/>
      <x:c r="I49"/>
      <x:c r="J49"/>
      <x:c r="K49"/>
      <x:c r="L49"/>
      <x:c r="M49"/>
      <x:c r="N49"/>
      <x:c r="O49"/>
      <x:c r="P49"/>
      <x:c r="Q49"/>
      <x:c r="R49"/>
      <x:c r="S49"/>
      <x:c r="T49"/>
      <x:c r="U49"/>
    </x:row>
  </x:sheetData>
  <x:mergeCells>
    <x:mergeCell ref="A1:U1"/>
    <x:mergeCell ref="A2:U2"/>
  </x:mergeCells>
  <x:conditionalFormatting sqref="D15:D27">
    <x:cfRule type="expression" dxfId="36" priority="1">
      <x:formula>D15="OBL"</x:formula>
    </x:cfRule>
    <x:cfRule type="expression" dxfId="37" priority="2">
      <x:formula>D15="ADV"</x:formula>
    </x:cfRule>
    <x:cfRule type="expression" dxfId="38" priority="3">
      <x:formula>D15="OPT"</x:formula>
    </x:cfRule>
  </x:conditionalFormatting>
  <x:conditionalFormatting sqref="N15:N27">
    <x:cfRule type="dataBar" priority="4">
      <x:dataBar>
        <x:cfvo type="min"/>
        <x:cfvo type="max"/>
        <x:color rgb="FFA02B93"/>
      </x:dataBar>
      <x:extLst>
        <x:ext xmlns:x14="http://schemas.microsoft.com/office/spreadsheetml/2009/9/main" uri="{B025F937-C7B1-47D3-B67F-A62EFF666E3E}">
          <x14:id>{D21D19B4-48FA-C280-4F01-26C2D9BAACD7}</x14:id>
        </x:ext>
      </x:extLst>
    </x:cfRule>
  </x:conditionalFormatting>
  <x:dataValidations count="5">
    <x:dataValidation type="list" sqref="D15:D27">
      <x:formula1>"OBL,OPT,ADV"</x:formula1>
    </x:dataValidation>
    <x:dataValidation type="list" sqref="E15:E27">
      <x:formula1>"Sí,No"</x:formula1>
    </x:dataValidation>
    <x:dataValidation type="list" sqref="O15:O27">
      <x:formula1>"NO CONTRATADA,BACKLOG,PLANIFICADA,EN DESARROLLO,EN REVISIÓN,ACEPTADA,BLOQUEADA,RECUPERACIÓN"</x:formula1>
    </x:dataValidation>
    <x:dataValidation type="list" sqref="G15:G27">
      <x:formula1>"H0,H1,H2,H3,H4,H5"</x:formula1>
    </x:dataValidation>
    <x:dataValidation type="list" sqref="L15:L27">
      <x:formula1>'16 Contrato firma'!$B$7:$B$10</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4" id="{D21D19B4-48FA-C280-4F01-26C2D9BAACD7}">
            <x14:dataBar gradient="1">
              <x14:cfvo type="min"/>
              <x14:cfvo type="max"/>
              <x14:fillColor rgb="FFA02B93"/>
            </x14:dataBar>
          </x14:cfRule>
          <xm:sqref>N15:N27</xm:sqref>
        </x14:conditionalFormatting>
      </x14:conditionalFormattings>
    </x:ext>
  </x:extLst>
</x:worksheet>
</file>

<file path=xl/worksheets/sheet12.xml><?xml version="1.0" encoding="utf-8"?>
<x:worksheet xmlns:x="http://schemas.openxmlformats.org/spreadsheetml/2006/main">
  <x:sheetFormatPr defaultRowHeight="15"/>
  <x:cols>
    <x:col min="1" max="1" width="16" hidden="0" customWidth="1"/>
    <x:col min="2" max="2" width="24" hidden="0" customWidth="1"/>
    <x:col min="3" max="3" width="48" hidden="0" customWidth="1"/>
    <x:col min="4" max="4" width="9" hidden="0" customWidth="1"/>
    <x:col min="5" max="5" width="11" hidden="0" customWidth="1"/>
    <x:col min="6" max="6" width="14" hidden="0" customWidth="1"/>
    <x:col min="7" max="7" width="14" hidden="0" customWidth="1"/>
    <x:col min="8" max="8" width="12" hidden="0" customWidth="1"/>
    <x:col min="9" max="9" width="12" hidden="0" customWidth="1"/>
    <x:col min="10" max="10" width="12" hidden="0" customWidth="1"/>
    <x:col min="11" max="11" width="7" hidden="0" customWidth="1"/>
    <x:col min="12" max="12" width="16" hidden="0" customWidth="1"/>
    <x:col min="13" max="13" width="10" hidden="0" customWidth="1"/>
    <x:col min="14" max="14" width="10" hidden="0" customWidth="1"/>
    <x:col min="15" max="15" width="16" hidden="0" customWidth="1"/>
    <x:col min="16" max="16" width="11" hidden="0" customWidth="1"/>
    <x:col min="17" max="17" width="11" hidden="0" customWidth="1"/>
    <x:col min="18" max="18" width="52" hidden="0" customWidth="1"/>
    <x:col min="19" max="19" width="30" hidden="0" customWidth="1"/>
    <x:col min="20" max="20" width="28" hidden="0" customWidth="1"/>
    <x:col min="21" max="21" width="28" hidden="0" customWidth="1"/>
  </x:cols>
  <x:sheetData>
    <x:row r="1" ht="28" customHeight="1">
      <x:c r="A1" s="88" t="str">
        <x:v>Sostenibilidad aplicada al sistema productivo · Presupuesto de tareas · AulaFlow 2.0 · v1.0 · copia operativa</x:v>
      </x:c>
      <x:c r="B1" s="88"/>
      <x:c r="C1" s="88"/>
      <x:c r="D1" s="88"/>
      <x:c r="E1" s="88"/>
      <x:c r="F1" s="88"/>
      <x:c r="G1" s="88"/>
      <x:c r="H1" s="88"/>
      <x:c r="I1" s="88"/>
      <x:c r="J1" s="88"/>
      <x:c r="K1" s="88"/>
      <x:c r="L1" s="88"/>
      <x:c r="M1" s="88"/>
      <x:c r="N1" s="88"/>
      <x:c r="O1" s="88"/>
      <x:c r="P1" s="88"/>
      <x:c r="Q1" s="88"/>
      <x:c r="R1" s="88"/>
      <x:c r="S1" s="88"/>
      <x:c r="T1" s="88"/>
      <x:c r="U1" s="88"/>
    </x:row>
    <x:row r="2" ht="40" customHeight="1">
      <x:c r="A2" s="91" t="str">
        <x:v>Banco de evidencias medibles: línea base, mejora, comparación, retención de datos y decisiones de infraestructura. Se evitan memorias genéricas sin medida. Las horas son horas-persona totales del equipo para cada tarea.</x:v>
      </x:c>
      <x:c r="B2" s="91"/>
      <x:c r="C2" s="91"/>
      <x:c r="D2" s="91"/>
      <x:c r="E2" s="91"/>
      <x:c r="F2" s="91"/>
      <x:c r="G2" s="91"/>
      <x:c r="H2" s="91"/>
      <x:c r="I2" s="91"/>
      <x:c r="J2" s="91"/>
      <x:c r="K2" s="91"/>
      <x:c r="L2" s="91"/>
      <x:c r="M2" s="91"/>
      <x:c r="N2" s="91"/>
      <x:c r="O2" s="91"/>
      <x:c r="P2" s="91"/>
      <x:c r="Q2" s="91"/>
      <x:c r="R2" s="91"/>
      <x:c r="S2" s="91"/>
      <x:c r="T2" s="91"/>
      <x:c r="U2" s="91"/>
    </x:row>
    <x:row r="3">
      <x:c r="A3"/>
      <x:c r="B3"/>
      <x:c r="C3"/>
      <x:c r="D3"/>
      <x:c r="E3"/>
      <x:c r="F3"/>
      <x:c r="G3"/>
      <x:c r="H3"/>
      <x:c r="I3"/>
      <x:c r="J3"/>
      <x:c r="K3"/>
      <x:c r="L3"/>
      <x:c r="M3"/>
      <x:c r="N3"/>
      <x:c r="O3"/>
      <x:c r="P3"/>
      <x:c r="Q3"/>
      <x:c r="R3"/>
      <x:c r="S3"/>
      <x:c r="T3"/>
      <x:c r="U3"/>
    </x:row>
    <x:row r="4">
      <x:c r="A4" s="114" t="str">
        <x:v>RESUMEN</x:v>
      </x:c>
      <x:c r="B4" s="114" t="str">
        <x:v>VALOR</x:v>
      </x:c>
      <x:c r="C4"/>
      <x:c r="D4"/>
      <x:c r="E4"/>
      <x:c r="F4"/>
      <x:c r="G4"/>
      <x:c r="H4"/>
      <x:c r="I4"/>
      <x:c r="J4"/>
      <x:c r="K4"/>
      <x:c r="L4"/>
      <x:c r="M4"/>
      <x:c r="N4"/>
      <x:c r="O4"/>
      <x:c r="P4"/>
      <x:c r="Q4"/>
      <x:c r="R4"/>
      <x:c r="S4"/>
      <x:c r="T4"/>
      <x:c r="U4"/>
    </x:row>
    <x:row r="5">
      <x:c r="A5" s="116" t="str">
        <x:v>AT obligatorios ofertados</x:v>
      </x:c>
      <x:c r="B5" s="117" t="n">
        <x:f>SUMIF(D15:D24,"OBL",K15:K24)</x:f>
        <x:v>0</x:v>
      </x:c>
      <x:c r="C5"/>
      <x:c r="D5"/>
      <x:c r="E5"/>
      <x:c r="F5"/>
      <x:c r="G5"/>
      <x:c r="H5"/>
      <x:c r="I5"/>
      <x:c r="J5"/>
      <x:c r="K5"/>
      <x:c r="L5"/>
      <x:c r="M5"/>
      <x:c r="N5"/>
      <x:c r="O5"/>
      <x:c r="P5"/>
      <x:c r="Q5"/>
      <x:c r="R5"/>
      <x:c r="S5"/>
      <x:c r="T5"/>
      <x:c r="U5"/>
    </x:row>
    <x:row r="6">
      <x:c r="A6" s="116" t="str">
        <x:v>AT totales ofertados</x:v>
      </x:c>
      <x:c r="B6" s="117" t="n">
        <x:f>SUM(K15:K24)</x:f>
        <x:v>16</x:v>
      </x:c>
      <x:c r="C6"/>
      <x:c r="D6"/>
      <x:c r="E6"/>
      <x:c r="F6"/>
      <x:c r="G6"/>
      <x:c r="H6"/>
      <x:c r="I6"/>
      <x:c r="J6"/>
      <x:c r="K6"/>
      <x:c r="L6"/>
      <x:c r="M6"/>
      <x:c r="N6"/>
      <x:c r="O6"/>
      <x:c r="P6"/>
      <x:c r="Q6"/>
      <x:c r="R6"/>
      <x:c r="S6"/>
      <x:c r="T6"/>
      <x:c r="U6"/>
    </x:row>
    <x:row r="7">
      <x:c r="A7" s="116" t="str">
        <x:v>AT seleccionados</x:v>
      </x:c>
      <x:c r="B7" s="117" t="n">
        <x:f>SUMIF(E15:E24,"Sí",K15:K24)</x:f>
        <x:v>0</x:v>
      </x:c>
      <x:c r="C7"/>
      <x:c r="D7"/>
      <x:c r="E7"/>
      <x:c r="F7"/>
      <x:c r="G7"/>
      <x:c r="H7"/>
      <x:c r="I7"/>
      <x:c r="J7"/>
      <x:c r="K7"/>
      <x:c r="L7"/>
      <x:c r="M7"/>
      <x:c r="N7"/>
      <x:c r="O7"/>
      <x:c r="P7"/>
      <x:c r="Q7"/>
      <x:c r="R7"/>
      <x:c r="S7"/>
      <x:c r="T7"/>
      <x:c r="U7"/>
    </x:row>
    <x:row r="8">
      <x:c r="A8" s="116" t="str">
        <x:v>AT validados</x:v>
      </x:c>
      <x:c r="B8" s="117" t="n">
        <x:f>SUM(P15:P24)</x:f>
        <x:v>0</x:v>
      </x:c>
      <x:c r="C8"/>
      <x:c r="D8"/>
      <x:c r="E8"/>
      <x:c r="F8"/>
      <x:c r="G8"/>
      <x:c r="H8"/>
      <x:c r="I8"/>
      <x:c r="J8"/>
      <x:c r="K8"/>
      <x:c r="L8"/>
      <x:c r="M8"/>
      <x:c r="N8"/>
      <x:c r="O8"/>
      <x:c r="P8"/>
      <x:c r="Q8"/>
      <x:c r="R8"/>
      <x:c r="S8"/>
      <x:c r="T8"/>
      <x:c r="U8"/>
    </x:row>
    <x:row r="9">
      <x:c r="A9" s="116" t="str">
        <x:v>Horas recomendadas seleccionadas</x:v>
      </x:c>
      <x:c r="B9" s="117" t="n">
        <x:f>SUMIF(E15:E24,"Sí",H15:H24)</x:f>
        <x:v>0</x:v>
      </x:c>
      <x:c r="C9"/>
      <x:c r="D9"/>
      <x:c r="E9"/>
      <x:c r="F9"/>
      <x:c r="G9"/>
      <x:c r="H9"/>
      <x:c r="I9"/>
      <x:c r="J9"/>
      <x:c r="K9"/>
      <x:c r="L9"/>
      <x:c r="M9"/>
      <x:c r="N9"/>
      <x:c r="O9"/>
      <x:c r="P9"/>
      <x:c r="Q9"/>
      <x:c r="R9"/>
      <x:c r="S9"/>
      <x:c r="T9"/>
      <x:c r="U9"/>
    </x:row>
    <x:row r="10">
      <x:c r="A10" s="116" t="str">
        <x:v>Horas presupuestadas seleccionadas</x:v>
      </x:c>
      <x:c r="B10" s="117" t="n">
        <x:f>SUMIF(E15:E24,"Sí",I15:I24)</x:f>
        <x:v>0</x:v>
      </x:c>
      <x:c r="C10"/>
      <x:c r="D10"/>
      <x:c r="E10"/>
      <x:c r="F10"/>
      <x:c r="G10"/>
      <x:c r="H10"/>
      <x:c r="I10"/>
      <x:c r="J10"/>
      <x:c r="K10"/>
      <x:c r="L10"/>
      <x:c r="M10"/>
      <x:c r="N10"/>
      <x:c r="O10"/>
      <x:c r="P10"/>
      <x:c r="Q10"/>
      <x:c r="R10"/>
      <x:c r="S10"/>
      <x:c r="T10"/>
      <x:c r="U10"/>
    </x:row>
    <x:row r="11">
      <x:c r="A11" s="116" t="str">
        <x:v>Horas dedicadas</x:v>
      </x:c>
      <x:c r="B11" s="117" t="n">
        <x:f>SUM(J15:J24)</x:f>
        <x:v>0</x:v>
      </x:c>
      <x:c r="C11"/>
      <x:c r="D11"/>
      <x:c r="E11"/>
      <x:c r="F11"/>
      <x:c r="G11"/>
      <x:c r="H11"/>
      <x:c r="I11"/>
      <x:c r="J11"/>
      <x:c r="K11"/>
      <x:c r="L11"/>
      <x:c r="M11"/>
      <x:c r="N11"/>
      <x:c r="O11"/>
      <x:c r="P11"/>
      <x:c r="Q11"/>
      <x:c r="R11"/>
      <x:c r="S11"/>
      <x:c r="T11"/>
      <x:c r="U11"/>
    </x:row>
    <x:row r="12">
      <x:c r="A12" s="116" t="str">
        <x:v>Progreso ponderado por AT</x:v>
      </x:c>
      <x:c r="B12" s="118" t="n">
        <x:f>IF(B7=0,0,SUM(Q15:Q24)/B7)</x:f>
        <x:v>0</x:v>
      </x:c>
      <x:c r="C12"/>
      <x:c r="D12"/>
      <x:c r="E12"/>
      <x:c r="F12"/>
      <x:c r="G12"/>
      <x:c r="H12"/>
      <x:c r="I12"/>
      <x:c r="J12"/>
      <x:c r="K12"/>
      <x:c r="L12"/>
      <x:c r="M12"/>
      <x:c r="N12"/>
      <x:c r="O12"/>
      <x:c r="P12"/>
      <x:c r="Q12"/>
      <x:c r="R12"/>
      <x:c r="S12"/>
      <x:c r="T12"/>
      <x:c r="U12"/>
    </x:row>
    <x:row r="13">
      <x:c r="A13"/>
      <x:c r="B13"/>
      <x:c r="C13"/>
      <x:c r="D13"/>
      <x:c r="E13"/>
      <x:c r="F13"/>
      <x:c r="G13"/>
      <x:c r="H13"/>
      <x:c r="I13"/>
      <x:c r="J13"/>
      <x:c r="K13"/>
      <x:c r="L13"/>
      <x:c r="M13"/>
      <x:c r="N13"/>
      <x:c r="O13"/>
      <x:c r="P13"/>
      <x:c r="Q13"/>
      <x:c r="R13"/>
      <x:c r="S13"/>
      <x:c r="T13"/>
      <x:c r="U13"/>
    </x:row>
    <x:row r="14" ht="44" customHeight="1">
      <x:c r="A14" s="100" t="str">
        <x:v>ID</x:v>
      </x:c>
      <x:c r="B14" s="100" t="str">
        <x:v>Especificación / funcionalidad</x:v>
      </x:c>
      <x:c r="C14" s="100" t="str">
        <x:v>Tarea / entregable</x:v>
      </x:c>
      <x:c r="D14" s="100" t="str">
        <x:v>Tipo</x:v>
      </x:c>
      <x:c r="E14" s="100" t="str">
        <x:v>Seleccionada</x:v>
      </x:c>
      <x:c r="F14" s="100" t="str">
        <x:v>Hito recomendado</x:v>
      </x:c>
      <x:c r="G14" s="100" t="str">
        <x:v>Hito elegido</x:v>
      </x:c>
      <x:c r="H14" s="100" t="str">
        <x:v>Horas recomendadas (equipo)</x:v>
      </x:c>
      <x:c r="I14" s="100" t="str">
        <x:v>Horas presupuestadas (equipo)</x:v>
      </x:c>
      <x:c r="J14" s="100" t="str">
        <x:v>Horas dedicadas (equipo)</x:v>
      </x:c>
      <x:c r="K14" s="100" t="str">
        <x:v>AT</x:v>
      </x:c>
      <x:c r="L14" s="100" t="str">
        <x:v>Responsable</x:v>
      </x:c>
      <x:c r="M14" s="100" t="str">
        <x:v>Sprint</x:v>
      </x:c>
      <x:c r="N14" s="100" t="str">
        <x:v>% realizado</x:v>
      </x:c>
      <x:c r="O14" s="100" t="str">
        <x:v>Estado</x:v>
      </x:c>
      <x:c r="P14" s="100" t="str">
        <x:v>AT validados</x:v>
      </x:c>
      <x:c r="Q14" s="100" t="str">
        <x:v>AT progreso</x:v>
      </x:c>
      <x:c r="R14" s="100" t="str">
        <x:v>Criterios de aceptación</x:v>
      </x:c>
      <x:c r="S14" s="100" t="str">
        <x:v>Evidencia esperada</x:v>
      </x:c>
      <x:c r="T14" s="100" t="str">
        <x:v>Dependencias</x:v>
      </x:c>
      <x:c r="U14" s="100" t="str">
        <x:v>Observaciones</x:v>
      </x:c>
    </x:row>
    <x:row r="15">
      <x:c r="A15" s="104" t="str">
        <x:v>SUS.BASE.01</x:v>
      </x:c>
      <x:c r="B15" s="104" t="str">
        <x:v>Sostenibilidad del producto</x:v>
      </x:c>
      <x:c r="C15" s="104" t="str">
        <x:v>Elegir una decisión tecnológica con impacto medible</x:v>
      </x:c>
      <x:c r="D15" s="104" t="str">
        <x:v>OPT</x:v>
      </x:c>
      <x:c r="E15" s="107" t="str">
        <x:v>No</x:v>
      </x:c>
      <x:c r="F15" s="104" t="str">
        <x:v>H4</x:v>
      </x:c>
      <x:c r="G15" s="107"/>
      <x:c r="H15" s="104" t="n">
        <x:v>2</x:v>
      </x:c>
      <x:c r="I15" s="107" t="n">
        <x:v>2</x:v>
      </x:c>
      <x:c r="J15" s="107"/>
      <x:c r="K15" s="104" t="n">
        <x:v>1</x:v>
      </x:c>
      <x:c r="L15" s="107"/>
      <x:c r="M15" s="107"/>
      <x:c r="N15" s="108" t="n">
        <x:v>0</x:v>
      </x:c>
      <x:c r="O15" s="107" t="str">
        <x:v>NO CONTRATADA</x:v>
      </x:c>
      <x:c r="P15" s="109" t="n">
        <x:f>IF(AND(E15="Sí",O15="ACEPTADA"),K15,0)</x:f>
        <x:v>0</x:v>
      </x:c>
      <x:c r="Q15" s="109" t="n">
        <x:f>IF(E15="Sí",K15*N15,0)</x:f>
        <x:v>0</x:v>
      </x:c>
      <x:c r="R15" s="104" t="str">
        <x:v>Se identifica una decisión real de AulaFlow y el impacto que se pretende analizar.</x:v>
      </x:c>
      <x:c r="S15" s="104" t="str">
        <x:v>Ficha de decisión</x:v>
      </x:c>
      <x:c r="T15" s="104" t="str">
        <x:v>Producto desplegable</x:v>
      </x:c>
      <x:c r="U15" s="107" t="str"/>
    </x:row>
    <x:row r="16">
      <x:c r="A16" s="104" t="str">
        <x:v>SUS.BASE.02</x:v>
      </x:c>
      <x:c r="B16" s="104" t="str">
        <x:v>Sostenibilidad del producto</x:v>
      </x:c>
      <x:c r="C16" s="104" t="str">
        <x:v>Definir indicador y método de medida/estimación</x:v>
      </x:c>
      <x:c r="D16" s="104" t="str">
        <x:v>OPT</x:v>
      </x:c>
      <x:c r="E16" s="107" t="str">
        <x:v>No</x:v>
      </x:c>
      <x:c r="F16" s="104" t="str">
        <x:v>H4</x:v>
      </x:c>
      <x:c r="G16" s="107"/>
      <x:c r="H16" s="104" t="n">
        <x:v>3</x:v>
      </x:c>
      <x:c r="I16" s="107" t="n">
        <x:v>3</x:v>
      </x:c>
      <x:c r="J16" s="107"/>
      <x:c r="K16" s="104" t="n">
        <x:v>2</x:v>
      </x:c>
      <x:c r="L16" s="107"/>
      <x:c r="M16" s="107"/>
      <x:c r="N16" s="108" t="n">
        <x:v>0</x:v>
      </x:c>
      <x:c r="O16" s="107" t="str">
        <x:v>NO CONTRATADA</x:v>
      </x:c>
      <x:c r="P16" s="109" t="n">
        <x:f>IF(AND(E16="Sí",O16="ACEPTADA"),K16,0)</x:f>
        <x:v>0</x:v>
      </x:c>
      <x:c r="Q16" s="109" t="n">
        <x:f>IF(E16="Sí",K16*N16,0)</x:f>
        <x:v>0</x:v>
      </x:c>
      <x:c r="R16" s="104" t="str">
        <x:v>El indicador tiene unidad, fuente, condiciones y límites explícitos.</x:v>
      </x:c>
      <x:c r="S16" s="104" t="str">
        <x:v>Plan de medida</x:v>
      </x:c>
      <x:c r="T16" s="104" t="str">
        <x:v>SUS.BASE.01</x:v>
      </x:c>
      <x:c r="U16" s="107" t="str"/>
    </x:row>
    <x:row r="17">
      <x:c r="A17" s="104" t="str">
        <x:v>SUS.MED.01</x:v>
      </x:c>
      <x:c r="B17" s="104" t="str">
        <x:v>Medición</x:v>
      </x:c>
      <x:c r="C17" s="104" t="str">
        <x:v>Tomar línea base reproducible</x:v>
      </x:c>
      <x:c r="D17" s="104" t="str">
        <x:v>OPT</x:v>
      </x:c>
      <x:c r="E17" s="107" t="str">
        <x:v>No</x:v>
      </x:c>
      <x:c r="F17" s="104" t="str">
        <x:v>H4</x:v>
      </x:c>
      <x:c r="G17" s="107"/>
      <x:c r="H17" s="104" t="n">
        <x:v>3</x:v>
      </x:c>
      <x:c r="I17" s="107" t="n">
        <x:v>3</x:v>
      </x:c>
      <x:c r="J17" s="107"/>
      <x:c r="K17" s="104" t="n">
        <x:v>2</x:v>
      </x:c>
      <x:c r="L17" s="107"/>
      <x:c r="M17" s="107"/>
      <x:c r="N17" s="108" t="n">
        <x:v>0</x:v>
      </x:c>
      <x:c r="O17" s="107" t="str">
        <x:v>NO CONTRATADA</x:v>
      </x:c>
      <x:c r="P17" s="109" t="n">
        <x:f>IF(AND(E17="Sí",O17="ACEPTADA"),K17,0)</x:f>
        <x:v>0</x:v>
      </x:c>
      <x:c r="Q17" s="109" t="n">
        <x:f>IF(E17="Sí",K17*N17,0)</x:f>
        <x:v>0</x:v>
      </x:c>
      <x:c r="R17" s="104" t="str">
        <x:v>La línea base se obtiene bajo condiciones descritas y puede repetirse.</x:v>
      </x:c>
      <x:c r="S17" s="104" t="str">
        <x:v>Datos + procedimiento</x:v>
      </x:c>
      <x:c r="T17" s="104" t="str">
        <x:v>SUS.BASE.02</x:v>
      </x:c>
      <x:c r="U17" s="107" t="str"/>
    </x:row>
    <x:row r="18">
      <x:c r="A18" s="104" t="str">
        <x:v>SUS.MED.02</x:v>
      </x:c>
      <x:c r="B18" s="104" t="str">
        <x:v>Medición</x:v>
      </x:c>
      <x:c r="C18" s="104" t="str">
        <x:v>Aplicar una mejora de consumo/recursos/tráfico/almacenamiento</x:v>
      </x:c>
      <x:c r="D18" s="104" t="str">
        <x:v>OPT</x:v>
      </x:c>
      <x:c r="E18" s="107" t="str">
        <x:v>No</x:v>
      </x:c>
      <x:c r="F18" s="104" t="str">
        <x:v>H5</x:v>
      </x:c>
      <x:c r="G18" s="107"/>
      <x:c r="H18" s="104" t="n">
        <x:v>4</x:v>
      </x:c>
      <x:c r="I18" s="107" t="n">
        <x:v>4</x:v>
      </x:c>
      <x:c r="J18" s="107"/>
      <x:c r="K18" s="104" t="n">
        <x:v>2</x:v>
      </x:c>
      <x:c r="L18" s="107"/>
      <x:c r="M18" s="107"/>
      <x:c r="N18" s="108" t="n">
        <x:v>0</x:v>
      </x:c>
      <x:c r="O18" s="107" t="str">
        <x:v>NO CONTRATADA</x:v>
      </x:c>
      <x:c r="P18" s="109" t="n">
        <x:f>IF(AND(E18="Sí",O18="ACEPTADA"),K18,0)</x:f>
        <x:v>0</x:v>
      </x:c>
      <x:c r="Q18" s="109" t="n">
        <x:f>IF(E18="Sí",K18*N18,0)</x:f>
        <x:v>0</x:v>
      </x:c>
      <x:c r="R18" s="104" t="str">
        <x:v>La mejora modifica una decisión técnica concreta y no solo el texto de la memoria.</x:v>
      </x:c>
      <x:c r="S18" s="104" t="str">
        <x:v>PR/configuración</x:v>
      </x:c>
      <x:c r="T18" s="104" t="str">
        <x:v>SUS.MED.01</x:v>
      </x:c>
      <x:c r="U18" s="107" t="str"/>
    </x:row>
    <x:row r="19">
      <x:c r="A19" s="104" t="str">
        <x:v>SUS.MED.03</x:v>
      </x:c>
      <x:c r="B19" s="104" t="str">
        <x:v>Medición</x:v>
      </x:c>
      <x:c r="C19" s="104" t="str">
        <x:v>Repetir medida y comparar antes/después</x:v>
      </x:c>
      <x:c r="D19" s="104" t="str">
        <x:v>OPT</x:v>
      </x:c>
      <x:c r="E19" s="107" t="str">
        <x:v>No</x:v>
      </x:c>
      <x:c r="F19" s="104" t="str">
        <x:v>H5</x:v>
      </x:c>
      <x:c r="G19" s="107"/>
      <x:c r="H19" s="104" t="n">
        <x:v>3</x:v>
      </x:c>
      <x:c r="I19" s="107" t="n">
        <x:v>3</x:v>
      </x:c>
      <x:c r="J19" s="107"/>
      <x:c r="K19" s="104" t="n">
        <x:v>2</x:v>
      </x:c>
      <x:c r="L19" s="107"/>
      <x:c r="M19" s="107"/>
      <x:c r="N19" s="108" t="n">
        <x:v>0</x:v>
      </x:c>
      <x:c r="O19" s="107" t="str">
        <x:v>NO CONTRATADA</x:v>
      </x:c>
      <x:c r="P19" s="109" t="n">
        <x:f>IF(AND(E19="Sí",O19="ACEPTADA"),K19,0)</x:f>
        <x:v>0</x:v>
      </x:c>
      <x:c r="Q19" s="109" t="n">
        <x:f>IF(E19="Sí",K19*N19,0)</x:f>
        <x:v>0</x:v>
      </x:c>
      <x:c r="R19" s="104" t="str">
        <x:v>La comparación usa condiciones equivalentes y calcula la variación.</x:v>
      </x:c>
      <x:c r="S19" s="104" t="str">
        <x:v>Informe comparativo</x:v>
      </x:c>
      <x:c r="T19" s="104" t="str">
        <x:v>SUS.MED.02</x:v>
      </x:c>
      <x:c r="U19" s="107" t="str"/>
    </x:row>
    <x:row r="20">
      <x:c r="A20" s="104" t="str">
        <x:v>SUS.DATA.01</x:v>
      </x:c>
      <x:c r="B20" s="104" t="str">
        <x:v>Sostenibilidad de datos</x:v>
      </x:c>
      <x:c r="C20" s="104" t="str">
        <x:v>Definir política de retención/limpieza de datos de prueba o logs</x:v>
      </x:c>
      <x:c r="D20" s="104" t="str">
        <x:v>OPT</x:v>
      </x:c>
      <x:c r="E20" s="107" t="str">
        <x:v>No</x:v>
      </x:c>
      <x:c r="F20" s="104" t="str">
        <x:v>H4</x:v>
      </x:c>
      <x:c r="G20" s="107"/>
      <x:c r="H20" s="104" t="n">
        <x:v>3</x:v>
      </x:c>
      <x:c r="I20" s="107" t="n">
        <x:v>3</x:v>
      </x:c>
      <x:c r="J20" s="107"/>
      <x:c r="K20" s="104" t="n">
        <x:v>1</x:v>
      </x:c>
      <x:c r="L20" s="107"/>
      <x:c r="M20" s="107"/>
      <x:c r="N20" s="108" t="n">
        <x:v>0</x:v>
      </x:c>
      <x:c r="O20" s="107" t="str">
        <x:v>NO CONTRATADA</x:v>
      </x:c>
      <x:c r="P20" s="109" t="n">
        <x:f>IF(AND(E20="Sí",O20="ACEPTADA"),K20,0)</x:f>
        <x:v>0</x:v>
      </x:c>
      <x:c r="Q20" s="109" t="n">
        <x:f>IF(E20="Sí",K20*N20,0)</x:f>
        <x:v>0</x:v>
      </x:c>
      <x:c r="R20" s="104" t="str">
        <x:v>La política distingue información necesaria y residuos evitables.</x:v>
      </x:c>
      <x:c r="S20" s="104" t="str">
        <x:v>ADR/política</x:v>
      </x:c>
      <x:c r="T20" s="104" t="str">
        <x:v>Logs/datos</x:v>
      </x:c>
      <x:c r="U20" s="107" t="str"/>
    </x:row>
    <x:row r="21">
      <x:c r="A21" s="104" t="str">
        <x:v>SUS.DATA.02</x:v>
      </x:c>
      <x:c r="B21" s="104" t="str">
        <x:v>Sostenibilidad de datos</x:v>
      </x:c>
      <x:c r="C21" s="104" t="str">
        <x:v>Implementar limpieza/rotación según política</x:v>
      </x:c>
      <x:c r="D21" s="104" t="str">
        <x:v>ADV</x:v>
      </x:c>
      <x:c r="E21" s="107" t="str">
        <x:v>No</x:v>
      </x:c>
      <x:c r="F21" s="104" t="str">
        <x:v>H5</x:v>
      </x:c>
      <x:c r="G21" s="107"/>
      <x:c r="H21" s="104" t="n">
        <x:v>4</x:v>
      </x:c>
      <x:c r="I21" s="107" t="n">
        <x:v>4</x:v>
      </x:c>
      <x:c r="J21" s="107"/>
      <x:c r="K21" s="104" t="n">
        <x:v>2</x:v>
      </x:c>
      <x:c r="L21" s="107"/>
      <x:c r="M21" s="107"/>
      <x:c r="N21" s="108" t="n">
        <x:v>0</x:v>
      </x:c>
      <x:c r="O21" s="107" t="str">
        <x:v>NO CONTRATADA</x:v>
      </x:c>
      <x:c r="P21" s="109" t="n">
        <x:f>IF(AND(E21="Sí",O21="ACEPTADA"),K21,0)</x:f>
        <x:v>0</x:v>
      </x:c>
      <x:c r="Q21" s="109" t="n">
        <x:f>IF(E21="Sí",K21*N21,0)</x:f>
        <x:v>0</x:v>
      </x:c>
      <x:c r="R21" s="104" t="str">
        <x:v>La rotación elimina acumulación innecesaria sin destruir evidencias requeridas.</x:v>
      </x:c>
      <x:c r="S21" s="104" t="str">
        <x:v>Script/config + test</x:v>
      </x:c>
      <x:c r="T21" s="104" t="str">
        <x:v>SUS.DATA.01</x:v>
      </x:c>
      <x:c r="U21" s="107" t="str"/>
    </x:row>
    <x:row r="22">
      <x:c r="A22" s="104" t="str">
        <x:v>SUS.INFRA.01</x:v>
      </x:c>
      <x:c r="B22" s="104" t="str">
        <x:v>Infraestructura</x:v>
      </x:c>
      <x:c r="C22" s="104" t="str">
        <x:v>Comparar dos alternativas de despliegue por coste/recursos</x:v>
      </x:c>
      <x:c r="D22" s="104" t="str">
        <x:v>OPT</x:v>
      </x:c>
      <x:c r="E22" s="107" t="str">
        <x:v>No</x:v>
      </x:c>
      <x:c r="F22" s="104" t="str">
        <x:v>H4</x:v>
      </x:c>
      <x:c r="G22" s="107"/>
      <x:c r="H22" s="104" t="n">
        <x:v>3</x:v>
      </x:c>
      <x:c r="I22" s="107" t="n">
        <x:v>3</x:v>
      </x:c>
      <x:c r="J22" s="107"/>
      <x:c r="K22" s="104" t="n">
        <x:v>2</x:v>
      </x:c>
      <x:c r="L22" s="107"/>
      <x:c r="M22" s="107"/>
      <x:c r="N22" s="108" t="n">
        <x:v>0</x:v>
      </x:c>
      <x:c r="O22" s="107" t="str">
        <x:v>NO CONTRATADA</x:v>
      </x:c>
      <x:c r="P22" s="109" t="n">
        <x:f>IF(AND(E22="Sí",O22="ACEPTADA"),K22,0)</x:f>
        <x:v>0</x:v>
      </x:c>
      <x:c r="Q22" s="109" t="n">
        <x:f>IF(E22="Sí",K22*N22,0)</x:f>
        <x:v>0</x:v>
      </x:c>
      <x:c r="R22" s="104" t="str">
        <x:v>La comparación usa supuestos explícitos y al menos dos criterios cuantificables.</x:v>
      </x:c>
      <x:c r="S22" s="104" t="str">
        <x:v>Tabla comparativa</x:v>
      </x:c>
      <x:c r="T22" s="104" t="str">
        <x:v>Nube/servidor</x:v>
      </x:c>
      <x:c r="U22" s="107" t="str"/>
    </x:row>
    <x:row r="23">
      <x:c r="A23" s="104" t="str">
        <x:v>SUS.INFRA.02</x:v>
      </x:c>
      <x:c r="B23" s="104" t="str">
        <x:v>Infraestructura</x:v>
      </x:c>
      <x:c r="C23" s="104" t="str">
        <x:v>Justificar dimensionamiento mínimo razonable</x:v>
      </x:c>
      <x:c r="D23" s="104" t="str">
        <x:v>OPT</x:v>
      </x:c>
      <x:c r="E23" s="107" t="str">
        <x:v>No</x:v>
      </x:c>
      <x:c r="F23" s="104" t="str">
        <x:v>H5</x:v>
      </x:c>
      <x:c r="G23" s="107"/>
      <x:c r="H23" s="104" t="n">
        <x:v>2</x:v>
      </x:c>
      <x:c r="I23" s="107" t="n">
        <x:v>2</x:v>
      </x:c>
      <x:c r="J23" s="107"/>
      <x:c r="K23" s="104" t="n">
        <x:v>1</x:v>
      </x:c>
      <x:c r="L23" s="107"/>
      <x:c r="M23" s="107"/>
      <x:c r="N23" s="108" t="n">
        <x:v>0</x:v>
      </x:c>
      <x:c r="O23" s="107" t="str">
        <x:v>NO CONTRATADA</x:v>
      </x:c>
      <x:c r="P23" s="109" t="n">
        <x:f>IF(AND(E23="Sí",O23="ACEPTADA"),K23,0)</x:f>
        <x:v>0</x:v>
      </x:c>
      <x:c r="Q23" s="109" t="n">
        <x:f>IF(E23="Sí",K23*N23,0)</x:f>
        <x:v>0</x:v>
      </x:c>
      <x:c r="R23" s="104" t="str">
        <x:v>CPU/RAM/almacenamiento elegidos se relacionan con carga prevista y margen.</x:v>
      </x:c>
      <x:c r="S23" s="104" t="str">
        <x:v>Nota técnica</x:v>
      </x:c>
      <x:c r="T23" s="104" t="str">
        <x:v>SUS.INFRA.01</x:v>
      </x:c>
      <x:c r="U23" s="107" t="str"/>
    </x:row>
    <x:row r="24">
      <x:c r="A24" s="104" t="str">
        <x:v>SUS.REP.01</x:v>
      </x:c>
      <x:c r="B24" s="104" t="str">
        <x:v>Evidencia final</x:v>
      </x:c>
      <x:c r="C24" s="104" t="str">
        <x:v>Redactar conclusión con trade-offs y límites</x:v>
      </x:c>
      <x:c r="D24" s="104" t="str">
        <x:v>OPT</x:v>
      </x:c>
      <x:c r="E24" s="107" t="str">
        <x:v>No</x:v>
      </x:c>
      <x:c r="F24" s="104" t="str">
        <x:v>H5</x:v>
      </x:c>
      <x:c r="G24" s="107"/>
      <x:c r="H24" s="104" t="n">
        <x:v>2</x:v>
      </x:c>
      <x:c r="I24" s="107" t="n">
        <x:v>2</x:v>
      </x:c>
      <x:c r="J24" s="107"/>
      <x:c r="K24" s="104" t="n">
        <x:v>1</x:v>
      </x:c>
      <x:c r="L24" s="107"/>
      <x:c r="M24" s="107"/>
      <x:c r="N24" s="108" t="n">
        <x:v>0</x:v>
      </x:c>
      <x:c r="O24" s="107" t="str">
        <x:v>NO CONTRATADA</x:v>
      </x:c>
      <x:c r="P24" s="109" t="n">
        <x:f>IF(AND(E24="Sí",O24="ACEPTADA"),K24,0)</x:f>
        <x:v>0</x:v>
      </x:c>
      <x:c r="Q24" s="109" t="n">
        <x:f>IF(E24="Sí",K24*N24,0)</x:f>
        <x:v>0</x:v>
      </x:c>
      <x:c r="R24" s="104" t="str">
        <x:v>La conclusión no exagera resultados y reconoce costes/impactos desplazados.</x:v>
      </x:c>
      <x:c r="S24" s="104" t="str">
        <x:v>Informe breve</x:v>
      </x:c>
      <x:c r="T24" s="104" t="str">
        <x:v>SUS.MED.03 o SUS.INFRA.*</x:v>
      </x:c>
      <x:c r="U24" s="107" t="str"/>
    </x:row>
    <x:row r="25">
      <x:c r="A25"/>
      <x:c r="B25"/>
      <x:c r="C25"/>
      <x:c r="D25"/>
      <x:c r="E25"/>
      <x:c r="F25"/>
      <x:c r="G25"/>
      <x:c r="H25"/>
      <x:c r="I25"/>
      <x:c r="J25"/>
      <x:c r="K25"/>
      <x:c r="L25"/>
      <x:c r="M25"/>
      <x:c r="N25"/>
      <x:c r="O25"/>
      <x:c r="P25"/>
      <x:c r="Q25"/>
      <x:c r="R25"/>
      <x:c r="S25"/>
      <x:c r="T25"/>
      <x:c r="U25"/>
    </x:row>
    <x:row r="26">
      <x:c r="A26"/>
      <x:c r="B26"/>
      <x:c r="C26"/>
      <x:c r="D26"/>
      <x:c r="E26"/>
      <x:c r="F26"/>
      <x:c r="G26"/>
      <x:c r="H26"/>
      <x:c r="I26"/>
      <x:c r="J26"/>
      <x:c r="K26"/>
      <x:c r="L26"/>
      <x:c r="M26"/>
      <x:c r="N26"/>
      <x:c r="O26"/>
      <x:c r="P26"/>
      <x:c r="Q26"/>
      <x:c r="R26"/>
      <x:c r="S26"/>
      <x:c r="T26"/>
      <x:c r="U26"/>
    </x:row>
    <x:row r="27">
      <x:c r="A27"/>
      <x:c r="B27"/>
      <x:c r="C27"/>
      <x:c r="D27"/>
      <x:c r="E27"/>
      <x:c r="F27"/>
      <x:c r="G27"/>
      <x:c r="H27"/>
      <x:c r="I27"/>
      <x:c r="J27"/>
      <x:c r="K27"/>
      <x:c r="L27"/>
      <x:c r="M27"/>
      <x:c r="N27"/>
      <x:c r="O27"/>
      <x:c r="P27"/>
      <x:c r="Q27"/>
      <x:c r="R27"/>
      <x:c r="S27"/>
      <x:c r="T27"/>
      <x:c r="U27"/>
    </x:row>
    <x:row r="28">
      <x:c r="A28"/>
      <x:c r="B28"/>
      <x:c r="C28"/>
      <x:c r="D28"/>
      <x:c r="E28"/>
      <x:c r="F28"/>
      <x:c r="G28"/>
      <x:c r="H28"/>
      <x:c r="I28"/>
      <x:c r="J28"/>
      <x:c r="K28"/>
      <x:c r="L28"/>
      <x:c r="M28"/>
      <x:c r="N28"/>
      <x:c r="O28"/>
      <x:c r="P28"/>
      <x:c r="Q28"/>
      <x:c r="R28"/>
      <x:c r="S28"/>
      <x:c r="T28"/>
      <x:c r="U28"/>
    </x:row>
    <x:row r="29">
      <x:c r="A29"/>
      <x:c r="B29"/>
      <x:c r="C29"/>
      <x:c r="D29"/>
      <x:c r="E29"/>
      <x:c r="F29"/>
      <x:c r="G29"/>
      <x:c r="H29"/>
      <x:c r="I29"/>
      <x:c r="J29"/>
      <x:c r="K29"/>
      <x:c r="L29"/>
      <x:c r="M29"/>
      <x:c r="N29"/>
      <x:c r="O29"/>
      <x:c r="P29"/>
      <x:c r="Q29"/>
      <x:c r="R29"/>
      <x:c r="S29"/>
      <x:c r="T29"/>
      <x:c r="U29"/>
    </x:row>
    <x:row r="30">
      <x:c r="A30"/>
      <x:c r="B30"/>
      <x:c r="C30"/>
      <x:c r="D30"/>
      <x:c r="E30"/>
      <x:c r="F30"/>
      <x:c r="G30"/>
      <x:c r="H30"/>
      <x:c r="I30"/>
      <x:c r="J30"/>
      <x:c r="K30"/>
      <x:c r="L30"/>
      <x:c r="M30"/>
      <x:c r="N30"/>
      <x:c r="O30"/>
      <x:c r="P30"/>
      <x:c r="Q30"/>
      <x:c r="R30"/>
      <x:c r="S30"/>
      <x:c r="T30"/>
      <x:c r="U30"/>
    </x:row>
    <x:row r="31">
      <x:c r="A31"/>
      <x:c r="B31"/>
      <x:c r="C31"/>
      <x:c r="D31"/>
      <x:c r="E31"/>
      <x:c r="F31"/>
      <x:c r="G31"/>
      <x:c r="H31"/>
      <x:c r="I31"/>
      <x:c r="J31"/>
      <x:c r="K31"/>
      <x:c r="L31"/>
      <x:c r="M31"/>
      <x:c r="N31"/>
      <x:c r="O31"/>
      <x:c r="P31"/>
      <x:c r="Q31"/>
      <x:c r="R31"/>
      <x:c r="S31"/>
      <x:c r="T31"/>
      <x:c r="U31"/>
    </x:row>
    <x:row r="32">
      <x:c r="A32"/>
      <x:c r="B32"/>
      <x:c r="C32"/>
      <x:c r="D32"/>
      <x:c r="E32"/>
      <x:c r="F32"/>
      <x:c r="G32"/>
      <x:c r="H32"/>
      <x:c r="I32"/>
      <x:c r="J32"/>
      <x:c r="K32"/>
      <x:c r="L32"/>
      <x:c r="M32"/>
      <x:c r="N32"/>
      <x:c r="O32"/>
      <x:c r="P32"/>
      <x:c r="Q32"/>
      <x:c r="R32"/>
      <x:c r="S32"/>
      <x:c r="T32"/>
      <x:c r="U32"/>
    </x:row>
    <x:row r="33">
      <x:c r="A33"/>
      <x:c r="B33"/>
      <x:c r="C33"/>
      <x:c r="D33"/>
      <x:c r="E33"/>
      <x:c r="F33"/>
      <x:c r="G33"/>
      <x:c r="H33"/>
      <x:c r="I33"/>
      <x:c r="J33"/>
      <x:c r="K33"/>
      <x:c r="L33"/>
      <x:c r="M33"/>
      <x:c r="N33"/>
      <x:c r="O33"/>
      <x:c r="P33"/>
      <x:c r="Q33"/>
      <x:c r="R33"/>
      <x:c r="S33"/>
      <x:c r="T33"/>
      <x:c r="U33"/>
    </x:row>
    <x:row r="34">
      <x:c r="A34"/>
      <x:c r="B34"/>
      <x:c r="C34"/>
      <x:c r="D34"/>
      <x:c r="E34"/>
      <x:c r="F34"/>
      <x:c r="G34"/>
      <x:c r="H34"/>
      <x:c r="I34"/>
      <x:c r="J34"/>
      <x:c r="K34"/>
      <x:c r="L34"/>
      <x:c r="M34"/>
      <x:c r="N34"/>
      <x:c r="O34"/>
      <x:c r="P34"/>
      <x:c r="Q34"/>
      <x:c r="R34"/>
      <x:c r="S34"/>
      <x:c r="T34"/>
      <x:c r="U34"/>
    </x:row>
    <x:row r="35">
      <x:c r="A35"/>
      <x:c r="B35"/>
      <x:c r="C35"/>
      <x:c r="D35"/>
      <x:c r="E35"/>
      <x:c r="F35"/>
      <x:c r="G35"/>
      <x:c r="H35"/>
      <x:c r="I35"/>
      <x:c r="J35"/>
      <x:c r="K35"/>
      <x:c r="L35"/>
      <x:c r="M35"/>
      <x:c r="N35"/>
      <x:c r="O35"/>
      <x:c r="P35"/>
      <x:c r="Q35"/>
      <x:c r="R35"/>
      <x:c r="S35"/>
      <x:c r="T35"/>
      <x:c r="U35"/>
    </x:row>
    <x:row r="36">
      <x:c r="A36"/>
      <x:c r="B36"/>
      <x:c r="C36"/>
      <x:c r="D36"/>
      <x:c r="E36"/>
      <x:c r="F36"/>
      <x:c r="G36"/>
      <x:c r="H36"/>
      <x:c r="I36"/>
      <x:c r="J36"/>
      <x:c r="K36"/>
      <x:c r="L36"/>
      <x:c r="M36"/>
      <x:c r="N36"/>
      <x:c r="O36"/>
      <x:c r="P36"/>
      <x:c r="Q36"/>
      <x:c r="R36"/>
      <x:c r="S36"/>
      <x:c r="T36"/>
      <x:c r="U36"/>
    </x:row>
    <x:row r="37">
      <x:c r="A37"/>
      <x:c r="B37"/>
      <x:c r="C37"/>
      <x:c r="D37"/>
      <x:c r="E37"/>
      <x:c r="F37"/>
      <x:c r="G37"/>
      <x:c r="H37"/>
      <x:c r="I37"/>
      <x:c r="J37"/>
      <x:c r="K37"/>
      <x:c r="L37"/>
      <x:c r="M37"/>
      <x:c r="N37"/>
      <x:c r="O37"/>
      <x:c r="P37"/>
      <x:c r="Q37"/>
      <x:c r="R37"/>
      <x:c r="S37"/>
      <x:c r="T37"/>
      <x:c r="U37"/>
    </x:row>
    <x:row r="38">
      <x:c r="A38"/>
      <x:c r="B38"/>
      <x:c r="C38"/>
      <x:c r="D38"/>
      <x:c r="E38"/>
      <x:c r="F38"/>
      <x:c r="G38"/>
      <x:c r="H38"/>
      <x:c r="I38"/>
      <x:c r="J38"/>
      <x:c r="K38"/>
      <x:c r="L38"/>
      <x:c r="M38"/>
      <x:c r="N38"/>
      <x:c r="O38"/>
      <x:c r="P38"/>
      <x:c r="Q38"/>
      <x:c r="R38"/>
      <x:c r="S38"/>
      <x:c r="T38"/>
      <x:c r="U38"/>
    </x:row>
    <x:row r="39">
      <x:c r="A39"/>
      <x:c r="B39"/>
      <x:c r="C39"/>
      <x:c r="D39"/>
      <x:c r="E39"/>
      <x:c r="F39"/>
      <x:c r="G39"/>
      <x:c r="H39"/>
      <x:c r="I39"/>
      <x:c r="J39"/>
      <x:c r="K39"/>
      <x:c r="L39"/>
      <x:c r="M39"/>
      <x:c r="N39"/>
      <x:c r="O39"/>
      <x:c r="P39"/>
      <x:c r="Q39"/>
      <x:c r="R39"/>
      <x:c r="S39"/>
      <x:c r="T39"/>
      <x:c r="U39"/>
    </x:row>
    <x:row r="40">
      <x:c r="A40"/>
      <x:c r="B40"/>
      <x:c r="C40"/>
      <x:c r="D40"/>
      <x:c r="E40"/>
      <x:c r="F40"/>
      <x:c r="G40"/>
      <x:c r="H40"/>
      <x:c r="I40"/>
      <x:c r="J40"/>
      <x:c r="K40"/>
      <x:c r="L40"/>
      <x:c r="M40"/>
      <x:c r="N40"/>
      <x:c r="O40"/>
      <x:c r="P40"/>
      <x:c r="Q40"/>
      <x:c r="R40"/>
      <x:c r="S40"/>
      <x:c r="T40"/>
      <x:c r="U40"/>
    </x:row>
    <x:row r="41">
      <x:c r="A41"/>
      <x:c r="B41"/>
      <x:c r="C41"/>
      <x:c r="D41"/>
      <x:c r="E41"/>
      <x:c r="F41"/>
      <x:c r="G41"/>
      <x:c r="H41"/>
      <x:c r="I41"/>
      <x:c r="J41"/>
      <x:c r="K41"/>
      <x:c r="L41"/>
      <x:c r="M41"/>
      <x:c r="N41"/>
      <x:c r="O41"/>
      <x:c r="P41"/>
      <x:c r="Q41"/>
      <x:c r="R41"/>
      <x:c r="S41"/>
      <x:c r="T41"/>
      <x:c r="U41"/>
    </x:row>
    <x:row r="42">
      <x:c r="A42"/>
      <x:c r="B42"/>
      <x:c r="C42"/>
      <x:c r="D42"/>
      <x:c r="E42"/>
      <x:c r="F42"/>
      <x:c r="G42"/>
      <x:c r="H42"/>
      <x:c r="I42"/>
      <x:c r="J42"/>
      <x:c r="K42"/>
      <x:c r="L42"/>
      <x:c r="M42"/>
      <x:c r="N42"/>
      <x:c r="O42"/>
      <x:c r="P42"/>
      <x:c r="Q42"/>
      <x:c r="R42"/>
      <x:c r="S42"/>
      <x:c r="T42"/>
      <x:c r="U42"/>
    </x:row>
    <x:row r="43">
      <x:c r="A43"/>
      <x:c r="B43"/>
      <x:c r="C43"/>
      <x:c r="D43"/>
      <x:c r="E43"/>
      <x:c r="F43"/>
      <x:c r="G43"/>
      <x:c r="H43"/>
      <x:c r="I43"/>
      <x:c r="J43"/>
      <x:c r="K43"/>
      <x:c r="L43"/>
      <x:c r="M43"/>
      <x:c r="N43"/>
      <x:c r="O43"/>
      <x:c r="P43"/>
      <x:c r="Q43"/>
      <x:c r="R43"/>
      <x:c r="S43"/>
      <x:c r="T43"/>
      <x:c r="U43"/>
    </x:row>
    <x:row r="44">
      <x:c r="A44"/>
      <x:c r="B44"/>
      <x:c r="C44"/>
      <x:c r="D44"/>
      <x:c r="E44"/>
      <x:c r="F44"/>
      <x:c r="G44"/>
      <x:c r="H44"/>
      <x:c r="I44"/>
      <x:c r="J44"/>
      <x:c r="K44"/>
      <x:c r="L44"/>
      <x:c r="M44"/>
      <x:c r="N44"/>
      <x:c r="O44"/>
      <x:c r="P44"/>
      <x:c r="Q44"/>
      <x:c r="R44"/>
      <x:c r="S44"/>
      <x:c r="T44"/>
      <x:c r="U44"/>
    </x:row>
    <x:row r="45">
      <x:c r="A45"/>
      <x:c r="B45"/>
      <x:c r="C45"/>
      <x:c r="D45"/>
      <x:c r="E45"/>
      <x:c r="F45"/>
      <x:c r="G45"/>
      <x:c r="H45"/>
      <x:c r="I45"/>
      <x:c r="J45"/>
      <x:c r="K45"/>
      <x:c r="L45"/>
      <x:c r="M45"/>
      <x:c r="N45"/>
      <x:c r="O45"/>
      <x:c r="P45"/>
      <x:c r="Q45"/>
      <x:c r="R45"/>
      <x:c r="S45"/>
      <x:c r="T45"/>
      <x:c r="U45"/>
    </x:row>
    <x:row r="46">
      <x:c r="A46"/>
      <x:c r="B46"/>
      <x:c r="C46"/>
      <x:c r="D46"/>
      <x:c r="E46"/>
      <x:c r="F46"/>
      <x:c r="G46"/>
      <x:c r="H46"/>
      <x:c r="I46"/>
      <x:c r="J46"/>
      <x:c r="K46"/>
      <x:c r="L46"/>
      <x:c r="M46"/>
      <x:c r="N46"/>
      <x:c r="O46"/>
      <x:c r="P46"/>
      <x:c r="Q46"/>
      <x:c r="R46"/>
      <x:c r="S46"/>
      <x:c r="T46"/>
      <x:c r="U46"/>
    </x:row>
    <x:row r="47">
      <x:c r="A47"/>
      <x:c r="B47"/>
      <x:c r="C47"/>
      <x:c r="D47"/>
      <x:c r="E47"/>
      <x:c r="F47"/>
      <x:c r="G47"/>
      <x:c r="H47"/>
      <x:c r="I47"/>
      <x:c r="J47"/>
      <x:c r="K47"/>
      <x:c r="L47"/>
      <x:c r="M47"/>
      <x:c r="N47"/>
      <x:c r="O47"/>
      <x:c r="P47"/>
      <x:c r="Q47"/>
      <x:c r="R47"/>
      <x:c r="S47"/>
      <x:c r="T47"/>
      <x:c r="U47"/>
    </x:row>
    <x:row r="48">
      <x:c r="A48"/>
      <x:c r="B48"/>
      <x:c r="C48"/>
      <x:c r="D48"/>
      <x:c r="E48"/>
      <x:c r="F48"/>
      <x:c r="G48"/>
      <x:c r="H48"/>
      <x:c r="I48"/>
      <x:c r="J48"/>
      <x:c r="K48"/>
      <x:c r="L48"/>
      <x:c r="M48"/>
      <x:c r="N48"/>
      <x:c r="O48"/>
      <x:c r="P48"/>
      <x:c r="Q48"/>
      <x:c r="R48"/>
      <x:c r="S48"/>
      <x:c r="T48"/>
      <x:c r="U48"/>
    </x:row>
    <x:row r="49">
      <x:c r="A49"/>
      <x:c r="B49"/>
      <x:c r="C49"/>
      <x:c r="D49"/>
      <x:c r="E49"/>
      <x:c r="F49"/>
      <x:c r="G49"/>
      <x:c r="H49"/>
      <x:c r="I49"/>
      <x:c r="J49"/>
      <x:c r="K49"/>
      <x:c r="L49"/>
      <x:c r="M49"/>
      <x:c r="N49"/>
      <x:c r="O49"/>
      <x:c r="P49"/>
      <x:c r="Q49"/>
      <x:c r="R49"/>
      <x:c r="S49"/>
      <x:c r="T49"/>
      <x:c r="U49"/>
    </x:row>
  </x:sheetData>
  <x:mergeCells>
    <x:mergeCell ref="A1:U1"/>
    <x:mergeCell ref="A2:U2"/>
  </x:mergeCells>
  <x:conditionalFormatting sqref="D15:D24">
    <x:cfRule type="expression" dxfId="39" priority="1">
      <x:formula>D15="OBL"</x:formula>
    </x:cfRule>
    <x:cfRule type="expression" dxfId="40" priority="2">
      <x:formula>D15="ADV"</x:formula>
    </x:cfRule>
    <x:cfRule type="expression" dxfId="41" priority="3">
      <x:formula>D15="OPT"</x:formula>
    </x:cfRule>
  </x:conditionalFormatting>
  <x:conditionalFormatting sqref="N15:N24">
    <x:cfRule type="dataBar" priority="4">
      <x:dataBar>
        <x:cfvo type="min"/>
        <x:cfvo type="max"/>
        <x:color rgb="FFA02B93"/>
      </x:dataBar>
      <x:extLst>
        <x:ext xmlns:x14="http://schemas.microsoft.com/office/spreadsheetml/2009/9/main" uri="{B025F937-C7B1-47D3-B67F-A62EFF666E3E}">
          <x14:id>{2CFE4466-68E2-F9D4-0429-A46D11C6F5C3}</x14:id>
        </x:ext>
      </x:extLst>
    </x:cfRule>
  </x:conditionalFormatting>
  <x:dataValidations count="5">
    <x:dataValidation type="list" sqref="D15:D24">
      <x:formula1>"OBL,OPT,ADV"</x:formula1>
    </x:dataValidation>
    <x:dataValidation type="list" sqref="E15:E24">
      <x:formula1>"Sí,No"</x:formula1>
    </x:dataValidation>
    <x:dataValidation type="list" sqref="O15:O24">
      <x:formula1>"NO CONTRATADA,BACKLOG,PLANIFICADA,EN DESARROLLO,EN REVISIÓN,ACEPTADA,BLOQUEADA,RECUPERACIÓN"</x:formula1>
    </x:dataValidation>
    <x:dataValidation type="list" sqref="G15:G24">
      <x:formula1>"H0,H1,H2,H3,H4,H5"</x:formula1>
    </x:dataValidation>
    <x:dataValidation type="list" sqref="L15:L24">
      <x:formula1>'16 Contrato firma'!$B$7:$B$10</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4" id="{2CFE4466-68E2-F9D4-0429-A46D11C6F5C3}">
            <x14:dataBar gradient="1">
              <x14:cfvo type="min"/>
              <x14:cfvo type="max"/>
              <x14:fillColor rgb="FFA02B93"/>
            </x14:dataBar>
          </x14:cfRule>
          <xm:sqref>N15:N24</xm:sqref>
        </x14:conditionalFormatting>
      </x14:conditionalFormattings>
    </x:ext>
  </x:extLst>
</x:worksheet>
</file>

<file path=xl/worksheets/sheet13.xml><?xml version="1.0" encoding="utf-8"?>
<x:worksheet xmlns:x="http://schemas.openxmlformats.org/spreadsheetml/2006/main">
  <x:sheetFormatPr defaultRowHeight="15"/>
  <x:cols>
    <x:col min="1" max="1" width="16" hidden="0" customWidth="1"/>
    <x:col min="2" max="2" width="24" hidden="0" customWidth="1"/>
    <x:col min="3" max="3" width="48" hidden="0" customWidth="1"/>
    <x:col min="4" max="4" width="9" hidden="0" customWidth="1"/>
    <x:col min="5" max="5" width="11" hidden="0" customWidth="1"/>
    <x:col min="6" max="6" width="14" hidden="0" customWidth="1"/>
    <x:col min="7" max="7" width="14" hidden="0" customWidth="1"/>
    <x:col min="8" max="8" width="12" hidden="0" customWidth="1"/>
    <x:col min="9" max="9" width="12" hidden="0" customWidth="1"/>
    <x:col min="10" max="10" width="12" hidden="0" customWidth="1"/>
    <x:col min="11" max="11" width="7" hidden="0" customWidth="1"/>
    <x:col min="12" max="12" width="16" hidden="0" customWidth="1"/>
    <x:col min="13" max="13" width="10" hidden="0" customWidth="1"/>
    <x:col min="14" max="14" width="10" hidden="0" customWidth="1"/>
    <x:col min="15" max="15" width="16" hidden="0" customWidth="1"/>
    <x:col min="16" max="16" width="11" hidden="0" customWidth="1"/>
    <x:col min="17" max="17" width="11" hidden="0" customWidth="1"/>
    <x:col min="18" max="18" width="52" hidden="0" customWidth="1"/>
    <x:col min="19" max="19" width="30" hidden="0" customWidth="1"/>
    <x:col min="20" max="20" width="28" hidden="0" customWidth="1"/>
    <x:col min="21" max="21" width="28" hidden="0" customWidth="1"/>
  </x:cols>
  <x:sheetData>
    <x:row r="1" ht="28" customHeight="1">
      <x:c r="A1" s="88" t="str">
        <x:v>Itinerario Personal para la Empleabilidad II · Presupuesto de tareas · AulaFlow 2.0 · v1.0 · copia operativa</x:v>
      </x:c>
      <x:c r="B1" s="88"/>
      <x:c r="C1" s="88"/>
      <x:c r="D1" s="88"/>
      <x:c r="E1" s="88"/>
      <x:c r="F1" s="88"/>
      <x:c r="G1" s="88"/>
      <x:c r="H1" s="88"/>
      <x:c r="I1" s="88"/>
      <x:c r="J1" s="88"/>
      <x:c r="K1" s="88"/>
      <x:c r="L1" s="88"/>
      <x:c r="M1" s="88"/>
      <x:c r="N1" s="88"/>
      <x:c r="O1" s="88"/>
      <x:c r="P1" s="88"/>
      <x:c r="Q1" s="88"/>
      <x:c r="R1" s="88"/>
      <x:c r="S1" s="88"/>
      <x:c r="T1" s="88"/>
      <x:c r="U1" s="88"/>
    </x:row>
    <x:row r="2" ht="40" customHeight="1">
      <x:c r="A2" s="91" t="str">
        <x:v>Banco de viabilidad: propuesta de valor, TCO, modelo de negocio, riesgos y comunicación profesional. Se usan datos del proyecto y supuestos explícitos. Las horas son horas-persona totales del equipo para cada tarea.</x:v>
      </x:c>
      <x:c r="B2" s="91"/>
      <x:c r="C2" s="91"/>
      <x:c r="D2" s="91"/>
      <x:c r="E2" s="91"/>
      <x:c r="F2" s="91"/>
      <x:c r="G2" s="91"/>
      <x:c r="H2" s="91"/>
      <x:c r="I2" s="91"/>
      <x:c r="J2" s="91"/>
      <x:c r="K2" s="91"/>
      <x:c r="L2" s="91"/>
      <x:c r="M2" s="91"/>
      <x:c r="N2" s="91"/>
      <x:c r="O2" s="91"/>
      <x:c r="P2" s="91"/>
      <x:c r="Q2" s="91"/>
      <x:c r="R2" s="91"/>
      <x:c r="S2" s="91"/>
      <x:c r="T2" s="91"/>
      <x:c r="U2" s="91"/>
    </x:row>
    <x:row r="3">
      <x:c r="A3"/>
      <x:c r="B3"/>
      <x:c r="C3"/>
      <x:c r="D3"/>
      <x:c r="E3"/>
      <x:c r="F3"/>
      <x:c r="G3"/>
      <x:c r="H3"/>
      <x:c r="I3"/>
      <x:c r="J3"/>
      <x:c r="K3"/>
      <x:c r="L3"/>
      <x:c r="M3"/>
      <x:c r="N3"/>
      <x:c r="O3"/>
      <x:c r="P3"/>
      <x:c r="Q3"/>
      <x:c r="R3"/>
      <x:c r="S3"/>
      <x:c r="T3"/>
      <x:c r="U3"/>
    </x:row>
    <x:row r="4">
      <x:c r="A4" s="114" t="str">
        <x:v>RESUMEN</x:v>
      </x:c>
      <x:c r="B4" s="114" t="str">
        <x:v>VALOR</x:v>
      </x:c>
      <x:c r="C4"/>
      <x:c r="D4"/>
      <x:c r="E4"/>
      <x:c r="F4"/>
      <x:c r="G4"/>
      <x:c r="H4"/>
      <x:c r="I4"/>
      <x:c r="J4"/>
      <x:c r="K4"/>
      <x:c r="L4"/>
      <x:c r="M4"/>
      <x:c r="N4"/>
      <x:c r="O4"/>
      <x:c r="P4"/>
      <x:c r="Q4"/>
      <x:c r="R4"/>
      <x:c r="S4"/>
      <x:c r="T4"/>
      <x:c r="U4"/>
    </x:row>
    <x:row r="5">
      <x:c r="A5" s="116" t="str">
        <x:v>AT obligatorios ofertados</x:v>
      </x:c>
      <x:c r="B5" s="117" t="n">
        <x:f>SUMIF(D15:D28,"OBL",K15:K28)</x:f>
        <x:v>0</x:v>
      </x:c>
      <x:c r="C5"/>
      <x:c r="D5"/>
      <x:c r="E5"/>
      <x:c r="F5"/>
      <x:c r="G5"/>
      <x:c r="H5"/>
      <x:c r="I5"/>
      <x:c r="J5"/>
      <x:c r="K5"/>
      <x:c r="L5"/>
      <x:c r="M5"/>
      <x:c r="N5"/>
      <x:c r="O5"/>
      <x:c r="P5"/>
      <x:c r="Q5"/>
      <x:c r="R5"/>
      <x:c r="S5"/>
      <x:c r="T5"/>
      <x:c r="U5"/>
    </x:row>
    <x:row r="6">
      <x:c r="A6" s="116" t="str">
        <x:v>AT totales ofertados</x:v>
      </x:c>
      <x:c r="B6" s="117" t="n">
        <x:f>SUM(K15:K28)</x:f>
        <x:v>28</x:v>
      </x:c>
      <x:c r="C6"/>
      <x:c r="D6"/>
      <x:c r="E6"/>
      <x:c r="F6"/>
      <x:c r="G6"/>
      <x:c r="H6"/>
      <x:c r="I6"/>
      <x:c r="J6"/>
      <x:c r="K6"/>
      <x:c r="L6"/>
      <x:c r="M6"/>
      <x:c r="N6"/>
      <x:c r="O6"/>
      <x:c r="P6"/>
      <x:c r="Q6"/>
      <x:c r="R6"/>
      <x:c r="S6"/>
      <x:c r="T6"/>
      <x:c r="U6"/>
    </x:row>
    <x:row r="7">
      <x:c r="A7" s="116" t="str">
        <x:v>AT seleccionados</x:v>
      </x:c>
      <x:c r="B7" s="117" t="n">
        <x:f>SUMIF(E15:E28,"Sí",K15:K28)</x:f>
        <x:v>0</x:v>
      </x:c>
      <x:c r="C7"/>
      <x:c r="D7"/>
      <x:c r="E7"/>
      <x:c r="F7"/>
      <x:c r="G7"/>
      <x:c r="H7"/>
      <x:c r="I7"/>
      <x:c r="J7"/>
      <x:c r="K7"/>
      <x:c r="L7"/>
      <x:c r="M7"/>
      <x:c r="N7"/>
      <x:c r="O7"/>
      <x:c r="P7"/>
      <x:c r="Q7"/>
      <x:c r="R7"/>
      <x:c r="S7"/>
      <x:c r="T7"/>
      <x:c r="U7"/>
    </x:row>
    <x:row r="8">
      <x:c r="A8" s="116" t="str">
        <x:v>AT validados</x:v>
      </x:c>
      <x:c r="B8" s="117" t="n">
        <x:f>SUM(P15:P28)</x:f>
        <x:v>0</x:v>
      </x:c>
      <x:c r="C8"/>
      <x:c r="D8"/>
      <x:c r="E8"/>
      <x:c r="F8"/>
      <x:c r="G8"/>
      <x:c r="H8"/>
      <x:c r="I8"/>
      <x:c r="J8"/>
      <x:c r="K8"/>
      <x:c r="L8"/>
      <x:c r="M8"/>
      <x:c r="N8"/>
      <x:c r="O8"/>
      <x:c r="P8"/>
      <x:c r="Q8"/>
      <x:c r="R8"/>
      <x:c r="S8"/>
      <x:c r="T8"/>
      <x:c r="U8"/>
    </x:row>
    <x:row r="9">
      <x:c r="A9" s="116" t="str">
        <x:v>Horas recomendadas seleccionadas</x:v>
      </x:c>
      <x:c r="B9" s="117" t="n">
        <x:f>SUMIF(E15:E28,"Sí",H15:H28)</x:f>
        <x:v>0</x:v>
      </x:c>
      <x:c r="C9"/>
      <x:c r="D9"/>
      <x:c r="E9"/>
      <x:c r="F9"/>
      <x:c r="G9"/>
      <x:c r="H9"/>
      <x:c r="I9"/>
      <x:c r="J9"/>
      <x:c r="K9"/>
      <x:c r="L9"/>
      <x:c r="M9"/>
      <x:c r="N9"/>
      <x:c r="O9"/>
      <x:c r="P9"/>
      <x:c r="Q9"/>
      <x:c r="R9"/>
      <x:c r="S9"/>
      <x:c r="T9"/>
      <x:c r="U9"/>
    </x:row>
    <x:row r="10">
      <x:c r="A10" s="116" t="str">
        <x:v>Horas presupuestadas seleccionadas</x:v>
      </x:c>
      <x:c r="B10" s="117" t="n">
        <x:f>SUMIF(E15:E28,"Sí",I15:I28)</x:f>
        <x:v>0</x:v>
      </x:c>
      <x:c r="C10"/>
      <x:c r="D10"/>
      <x:c r="E10"/>
      <x:c r="F10"/>
      <x:c r="G10"/>
      <x:c r="H10"/>
      <x:c r="I10"/>
      <x:c r="J10"/>
      <x:c r="K10"/>
      <x:c r="L10"/>
      <x:c r="M10"/>
      <x:c r="N10"/>
      <x:c r="O10"/>
      <x:c r="P10"/>
      <x:c r="Q10"/>
      <x:c r="R10"/>
      <x:c r="S10"/>
      <x:c r="T10"/>
      <x:c r="U10"/>
    </x:row>
    <x:row r="11">
      <x:c r="A11" s="116" t="str">
        <x:v>Horas dedicadas</x:v>
      </x:c>
      <x:c r="B11" s="117" t="n">
        <x:f>SUM(J15:J28)</x:f>
        <x:v>0</x:v>
      </x:c>
      <x:c r="C11"/>
      <x:c r="D11"/>
      <x:c r="E11"/>
      <x:c r="F11"/>
      <x:c r="G11"/>
      <x:c r="H11"/>
      <x:c r="I11"/>
      <x:c r="J11"/>
      <x:c r="K11"/>
      <x:c r="L11"/>
      <x:c r="M11"/>
      <x:c r="N11"/>
      <x:c r="O11"/>
      <x:c r="P11"/>
      <x:c r="Q11"/>
      <x:c r="R11"/>
      <x:c r="S11"/>
      <x:c r="T11"/>
      <x:c r="U11"/>
    </x:row>
    <x:row r="12">
      <x:c r="A12" s="116" t="str">
        <x:v>Progreso ponderado por AT</x:v>
      </x:c>
      <x:c r="B12" s="118" t="n">
        <x:f>IF(B7=0,0,SUM(Q15:Q28)/B7)</x:f>
        <x:v>0</x:v>
      </x:c>
      <x:c r="C12"/>
      <x:c r="D12"/>
      <x:c r="E12"/>
      <x:c r="F12"/>
      <x:c r="G12"/>
      <x:c r="H12"/>
      <x:c r="I12"/>
      <x:c r="J12"/>
      <x:c r="K12"/>
      <x:c r="L12"/>
      <x:c r="M12"/>
      <x:c r="N12"/>
      <x:c r="O12"/>
      <x:c r="P12"/>
      <x:c r="Q12"/>
      <x:c r="R12"/>
      <x:c r="S12"/>
      <x:c r="T12"/>
      <x:c r="U12"/>
    </x:row>
    <x:row r="13">
      <x:c r="A13"/>
      <x:c r="B13"/>
      <x:c r="C13"/>
      <x:c r="D13"/>
      <x:c r="E13"/>
      <x:c r="F13"/>
      <x:c r="G13"/>
      <x:c r="H13"/>
      <x:c r="I13"/>
      <x:c r="J13"/>
      <x:c r="K13"/>
      <x:c r="L13"/>
      <x:c r="M13"/>
      <x:c r="N13"/>
      <x:c r="O13"/>
      <x:c r="P13"/>
      <x:c r="Q13"/>
      <x:c r="R13"/>
      <x:c r="S13"/>
      <x:c r="T13"/>
      <x:c r="U13"/>
    </x:row>
    <x:row r="14" ht="44" customHeight="1">
      <x:c r="A14" s="100" t="str">
        <x:v>ID</x:v>
      </x:c>
      <x:c r="B14" s="100" t="str">
        <x:v>Especificación / funcionalidad</x:v>
      </x:c>
      <x:c r="C14" s="100" t="str">
        <x:v>Tarea / entregable</x:v>
      </x:c>
      <x:c r="D14" s="100" t="str">
        <x:v>Tipo</x:v>
      </x:c>
      <x:c r="E14" s="100" t="str">
        <x:v>Seleccionada</x:v>
      </x:c>
      <x:c r="F14" s="100" t="str">
        <x:v>Hito recomendado</x:v>
      </x:c>
      <x:c r="G14" s="100" t="str">
        <x:v>Hito elegido</x:v>
      </x:c>
      <x:c r="H14" s="100" t="str">
        <x:v>Horas recomendadas (equipo)</x:v>
      </x:c>
      <x:c r="I14" s="100" t="str">
        <x:v>Horas presupuestadas (equipo)</x:v>
      </x:c>
      <x:c r="J14" s="100" t="str">
        <x:v>Horas dedicadas (equipo)</x:v>
      </x:c>
      <x:c r="K14" s="100" t="str">
        <x:v>AT</x:v>
      </x:c>
      <x:c r="L14" s="100" t="str">
        <x:v>Responsable</x:v>
      </x:c>
      <x:c r="M14" s="100" t="str">
        <x:v>Sprint</x:v>
      </x:c>
      <x:c r="N14" s="100" t="str">
        <x:v>% realizado</x:v>
      </x:c>
      <x:c r="O14" s="100" t="str">
        <x:v>Estado</x:v>
      </x:c>
      <x:c r="P14" s="100" t="str">
        <x:v>AT validados</x:v>
      </x:c>
      <x:c r="Q14" s="100" t="str">
        <x:v>AT progreso</x:v>
      </x:c>
      <x:c r="R14" s="100" t="str">
        <x:v>Criterios de aceptación</x:v>
      </x:c>
      <x:c r="S14" s="100" t="str">
        <x:v>Evidencia esperada</x:v>
      </x:c>
      <x:c r="T14" s="100" t="str">
        <x:v>Dependencias</x:v>
      </x:c>
      <x:c r="U14" s="100" t="str">
        <x:v>Observaciones</x:v>
      </x:c>
    </x:row>
    <x:row r="15">
      <x:c r="A15" s="104" t="str">
        <x:v>IPE.VAL.01</x:v>
      </x:c>
      <x:c r="B15" s="104" t="str">
        <x:v>Propuesta de valor</x:v>
      </x:c>
      <x:c r="C15" s="104" t="str">
        <x:v>Definir problema, usuario objetivo y contexto de AulaFlow</x:v>
      </x:c>
      <x:c r="D15" s="104" t="str">
        <x:v>OPT</x:v>
      </x:c>
      <x:c r="E15" s="107" t="str">
        <x:v>No</x:v>
      </x:c>
      <x:c r="F15" s="104" t="str">
        <x:v>H3</x:v>
      </x:c>
      <x:c r="G15" s="107"/>
      <x:c r="H15" s="104" t="n">
        <x:v>3</x:v>
      </x:c>
      <x:c r="I15" s="107" t="n">
        <x:v>3</x:v>
      </x:c>
      <x:c r="J15" s="107"/>
      <x:c r="K15" s="104" t="n">
        <x:v>2</x:v>
      </x:c>
      <x:c r="L15" s="107"/>
      <x:c r="M15" s="107"/>
      <x:c r="N15" s="108" t="n">
        <x:v>0</x:v>
      </x:c>
      <x:c r="O15" s="107" t="str">
        <x:v>NO CONTRATADA</x:v>
      </x:c>
      <x:c r="P15" s="109" t="n">
        <x:f>IF(AND(E15="Sí",O15="ACEPTADA"),K15,0)</x:f>
        <x:v>0</x:v>
      </x:c>
      <x:c r="Q15" s="109" t="n">
        <x:f>IF(E15="Sí",K15*N15,0)</x:f>
        <x:v>0</x:v>
      </x:c>
      <x:c r="R15" s="104" t="str">
        <x:v>Se identifica un usuario/cliente concreto y un problema verificable, no una descripción genérica.</x:v>
      </x:c>
      <x:c r="S15" s="104" t="str">
        <x:v>Ficha de problema</x:v>
      </x:c>
      <x:c r="T15" s="104" t="str">
        <x:v>AulaFlow 2.0</x:v>
      </x:c>
      <x:c r="U15" s="107" t="str"/>
    </x:row>
    <x:row r="16">
      <x:c r="A16" s="104" t="str">
        <x:v>IPE.VAL.02</x:v>
      </x:c>
      <x:c r="B16" s="104" t="str">
        <x:v>Propuesta de valor</x:v>
      </x:c>
      <x:c r="C16" s="104" t="str">
        <x:v>Redactar propuesta de valor diferenciada</x:v>
      </x:c>
      <x:c r="D16" s="104" t="str">
        <x:v>OPT</x:v>
      </x:c>
      <x:c r="E16" s="107" t="str">
        <x:v>No</x:v>
      </x:c>
      <x:c r="F16" s="104" t="str">
        <x:v>H3</x:v>
      </x:c>
      <x:c r="G16" s="107"/>
      <x:c r="H16" s="104" t="n">
        <x:v>3</x:v>
      </x:c>
      <x:c r="I16" s="107" t="n">
        <x:v>3</x:v>
      </x:c>
      <x:c r="J16" s="107"/>
      <x:c r="K16" s="104" t="n">
        <x:v>2</x:v>
      </x:c>
      <x:c r="L16" s="107"/>
      <x:c r="M16" s="107"/>
      <x:c r="N16" s="108" t="n">
        <x:v>0</x:v>
      </x:c>
      <x:c r="O16" s="107" t="str">
        <x:v>NO CONTRATADA</x:v>
      </x:c>
      <x:c r="P16" s="109" t="n">
        <x:f>IF(AND(E16="Sí",O16="ACEPTADA"),K16,0)</x:f>
        <x:v>0</x:v>
      </x:c>
      <x:c r="Q16" s="109" t="n">
        <x:f>IF(E16="Sí",K16*N16,0)</x:f>
        <x:v>0</x:v>
      </x:c>
      <x:c r="R16" s="104" t="str">
        <x:v>La propuesta conecta necesidad, solución y beneficio y evita promesas no demostrables.</x:v>
      </x:c>
      <x:c r="S16" s="104" t="str">
        <x:v>Canvas/ficha</x:v>
      </x:c>
      <x:c r="T16" s="104" t="str">
        <x:v>IPE.VAL.01</x:v>
      </x:c>
      <x:c r="U16" s="107" t="str"/>
    </x:row>
    <x:row r="17">
      <x:c r="A17" s="104" t="str">
        <x:v>IPE.VAL.03</x:v>
      </x:c>
      <x:c r="B17" s="104" t="str">
        <x:v>Propuesta de valor</x:v>
      </x:c>
      <x:c r="C17" s="104" t="str">
        <x:v>Identificar alternativas/competidores y posicionamiento</x:v>
      </x:c>
      <x:c r="D17" s="104" t="str">
        <x:v>OPT</x:v>
      </x:c>
      <x:c r="E17" s="107" t="str">
        <x:v>No</x:v>
      </x:c>
      <x:c r="F17" s="104" t="str">
        <x:v>H4</x:v>
      </x:c>
      <x:c r="G17" s="107"/>
      <x:c r="H17" s="104" t="n">
        <x:v>4</x:v>
      </x:c>
      <x:c r="I17" s="107" t="n">
        <x:v>4</x:v>
      </x:c>
      <x:c r="J17" s="107"/>
      <x:c r="K17" s="104" t="n">
        <x:v>2</x:v>
      </x:c>
      <x:c r="L17" s="107"/>
      <x:c r="M17" s="107"/>
      <x:c r="N17" s="108" t="n">
        <x:v>0</x:v>
      </x:c>
      <x:c r="O17" s="107" t="str">
        <x:v>NO CONTRATADA</x:v>
      </x:c>
      <x:c r="P17" s="109" t="n">
        <x:f>IF(AND(E17="Sí",O17="ACEPTADA"),K17,0)</x:f>
        <x:v>0</x:v>
      </x:c>
      <x:c r="Q17" s="109" t="n">
        <x:f>IF(E17="Sí",K17*N17,0)</x:f>
        <x:v>0</x:v>
      </x:c>
      <x:c r="R17" s="104" t="str">
        <x:v>Se comparan alternativas relevantes con criterios explícitos.</x:v>
      </x:c>
      <x:c r="S17" s="104" t="str">
        <x:v>Matriz comparativa</x:v>
      </x:c>
      <x:c r="T17" s="104" t="str">
        <x:v>IPE.VAL.01</x:v>
      </x:c>
      <x:c r="U17" s="107" t="str"/>
    </x:row>
    <x:row r="18">
      <x:c r="A18" s="104" t="str">
        <x:v>IPE.COST.01</x:v>
      </x:c>
      <x:c r="B18" s="104" t="str">
        <x:v>Costes y TCO</x:v>
      </x:c>
      <x:c r="C18" s="104" t="str">
        <x:v>Inventariar costes de desarrollo, infraestructura y operación</x:v>
      </x:c>
      <x:c r="D18" s="104" t="str">
        <x:v>OPT</x:v>
      </x:c>
      <x:c r="E18" s="107" t="str">
        <x:v>No</x:v>
      </x:c>
      <x:c r="F18" s="104" t="str">
        <x:v>H4</x:v>
      </x:c>
      <x:c r="G18" s="107"/>
      <x:c r="H18" s="104" t="n">
        <x:v>4</x:v>
      </x:c>
      <x:c r="I18" s="107" t="n">
        <x:v>4</x:v>
      </x:c>
      <x:c r="J18" s="107"/>
      <x:c r="K18" s="104" t="n">
        <x:v>2</x:v>
      </x:c>
      <x:c r="L18" s="107"/>
      <x:c r="M18" s="107"/>
      <x:c r="N18" s="108" t="n">
        <x:v>0</x:v>
      </x:c>
      <x:c r="O18" s="107" t="str">
        <x:v>NO CONTRATADA</x:v>
      </x:c>
      <x:c r="P18" s="109" t="n">
        <x:f>IF(AND(E18="Sí",O18="ACEPTADA"),K18,0)</x:f>
        <x:v>0</x:v>
      </x:c>
      <x:c r="Q18" s="109" t="n">
        <x:f>IF(E18="Sí",K18*N18,0)</x:f>
        <x:v>0</x:v>
      </x:c>
      <x:c r="R18" s="104" t="str">
        <x:v>Los costes se separan por categorías y se distinguen fijos/variables cuando proceda.</x:v>
      </x:c>
      <x:c r="S18" s="104" t="str">
        <x:v>Hoja de costes</x:v>
      </x:c>
      <x:c r="T18" s="104" t="str">
        <x:v>Nube/horas proyecto</x:v>
      </x:c>
      <x:c r="U18" s="107" t="str">
        <x:v>Puede consumir costes calculados en Nube, pero aquí se valida el modelo económico/TCO, no se duplican AT por el mismo cálculo técnico.</x:v>
      </x:c>
    </x:row>
    <x:row r="19">
      <x:c r="A19" s="104" t="str">
        <x:v>IPE.COST.02</x:v>
      </x:c>
      <x:c r="B19" s="104" t="str">
        <x:v>Costes y TCO</x:v>
      </x:c>
      <x:c r="C19" s="104" t="str">
        <x:v>Valorar horas de trabajo del equipo con tarifa hipotética</x:v>
      </x:c>
      <x:c r="D19" s="104" t="str">
        <x:v>OPT</x:v>
      </x:c>
      <x:c r="E19" s="107" t="str">
        <x:v>No</x:v>
      </x:c>
      <x:c r="F19" s="104" t="str">
        <x:v>H4</x:v>
      </x:c>
      <x:c r="G19" s="107"/>
      <x:c r="H19" s="104" t="n">
        <x:v>3</x:v>
      </x:c>
      <x:c r="I19" s="107" t="n">
        <x:v>3</x:v>
      </x:c>
      <x:c r="J19" s="107"/>
      <x:c r="K19" s="104" t="n">
        <x:v>2</x:v>
      </x:c>
      <x:c r="L19" s="107"/>
      <x:c r="M19" s="107"/>
      <x:c r="N19" s="108" t="n">
        <x:v>0</x:v>
      </x:c>
      <x:c r="O19" s="107" t="str">
        <x:v>NO CONTRATADA</x:v>
      </x:c>
      <x:c r="P19" s="109" t="n">
        <x:f>IF(AND(E19="Sí",O19="ACEPTADA"),K19,0)</x:f>
        <x:v>0</x:v>
      </x:c>
      <x:c r="Q19" s="109" t="n">
        <x:f>IF(E19="Sí",K19*N19,0)</x:f>
        <x:v>0</x:v>
      </x:c>
      <x:c r="R19" s="104" t="str">
        <x:v>Las horas presupuestadas/realizadas se convierten con una tarifa justificada.</x:v>
      </x:c>
      <x:c r="S19" s="104" t="str">
        <x:v>Cálculo reproducible</x:v>
      </x:c>
      <x:c r="T19" s="104" t="str">
        <x:v>Presupuesto tareas</x:v>
      </x:c>
      <x:c r="U19" s="107" t="str"/>
    </x:row>
    <x:row r="20">
      <x:c r="A20" s="104" t="str">
        <x:v>IPE.COST.03</x:v>
      </x:c>
      <x:c r="B20" s="104" t="str">
        <x:v>Costes y TCO</x:v>
      </x:c>
      <x:c r="C20" s="104" t="str">
        <x:v>Calcular TCO de 12 meses con supuestos explícitos</x:v>
      </x:c>
      <x:c r="D20" s="104" t="str">
        <x:v>OPT</x:v>
      </x:c>
      <x:c r="E20" s="107" t="str">
        <x:v>No</x:v>
      </x:c>
      <x:c r="F20" s="104" t="str">
        <x:v>H4</x:v>
      </x:c>
      <x:c r="G20" s="107"/>
      <x:c r="H20" s="104" t="n">
        <x:v>4</x:v>
      </x:c>
      <x:c r="I20" s="107" t="n">
        <x:v>4</x:v>
      </x:c>
      <x:c r="J20" s="107"/>
      <x:c r="K20" s="104" t="n">
        <x:v>3</x:v>
      </x:c>
      <x:c r="L20" s="107"/>
      <x:c r="M20" s="107"/>
      <x:c r="N20" s="108" t="n">
        <x:v>0</x:v>
      </x:c>
      <x:c r="O20" s="107" t="str">
        <x:v>NO CONTRATADA</x:v>
      </x:c>
      <x:c r="P20" s="109" t="n">
        <x:f>IF(AND(E20="Sí",O20="ACEPTADA"),K20,0)</x:f>
        <x:v>0</x:v>
      </x:c>
      <x:c r="Q20" s="109" t="n">
        <x:f>IF(E20="Sí",K20*N20,0)</x:f>
        <x:v>0</x:v>
      </x:c>
      <x:c r="R20" s="104" t="str">
        <x:v>El cálculo incluye hipótesis y permite modificar variables principales.</x:v>
      </x:c>
      <x:c r="S20" s="104" t="str">
        <x:v>Hoja de cálculo</x:v>
      </x:c>
      <x:c r="T20" s="104" t="str">
        <x:v>IPE.COST.01; IPE.COST.02</x:v>
      </x:c>
      <x:c r="U20" s="107" t="str"/>
    </x:row>
    <x:row r="21">
      <x:c r="A21" s="104" t="str">
        <x:v>IPE.BIZ.01</x:v>
      </x:c>
      <x:c r="B21" s="104" t="str">
        <x:v>Modelo de negocio</x:v>
      </x:c>
      <x:c r="C21" s="104" t="str">
        <x:v>Elegir modelo de monetización/financiación hipotético</x:v>
      </x:c>
      <x:c r="D21" s="104" t="str">
        <x:v>OPT</x:v>
      </x:c>
      <x:c r="E21" s="107" t="str">
        <x:v>No</x:v>
      </x:c>
      <x:c r="F21" s="104" t="str">
        <x:v>H4</x:v>
      </x:c>
      <x:c r="G21" s="107"/>
      <x:c r="H21" s="104" t="n">
        <x:v>3</x:v>
      </x:c>
      <x:c r="I21" s="107" t="n">
        <x:v>3</x:v>
      </x:c>
      <x:c r="J21" s="107"/>
      <x:c r="K21" s="104" t="n">
        <x:v>2</x:v>
      </x:c>
      <x:c r="L21" s="107"/>
      <x:c r="M21" s="107"/>
      <x:c r="N21" s="108" t="n">
        <x:v>0</x:v>
      </x:c>
      <x:c r="O21" s="107" t="str">
        <x:v>NO CONTRATADA</x:v>
      </x:c>
      <x:c r="P21" s="109" t="n">
        <x:f>IF(AND(E21="Sí",O21="ACEPTADA"),K21,0)</x:f>
        <x:v>0</x:v>
      </x:c>
      <x:c r="Q21" s="109" t="n">
        <x:f>IF(E21="Sí",K21*N21,0)</x:f>
        <x:v>0</x:v>
      </x:c>
      <x:c r="R21" s="104" t="str">
        <x:v>El modelo es coherente con usuario y costes y explica quién paga y por qué.</x:v>
      </x:c>
      <x:c r="S21" s="104" t="str">
        <x:v>Canvas/modelo</x:v>
      </x:c>
      <x:c r="T21" s="104" t="str">
        <x:v>IPE.VAL.02; IPE.COST.03</x:v>
      </x:c>
      <x:c r="U21" s="107" t="str"/>
    </x:row>
    <x:row r="22">
      <x:c r="A22" s="104" t="str">
        <x:v>IPE.BIZ.02</x:v>
      </x:c>
      <x:c r="B22" s="104" t="str">
        <x:v>Modelo de negocio</x:v>
      </x:c>
      <x:c r="C22" s="104" t="str">
        <x:v>Definir precios o niveles de servicio de ejemplo</x:v>
      </x:c>
      <x:c r="D22" s="104" t="str">
        <x:v>OPT</x:v>
      </x:c>
      <x:c r="E22" s="107" t="str">
        <x:v>No</x:v>
      </x:c>
      <x:c r="F22" s="104" t="str">
        <x:v>H4</x:v>
      </x:c>
      <x:c r="G22" s="107"/>
      <x:c r="H22" s="104" t="n">
        <x:v>3</x:v>
      </x:c>
      <x:c r="I22" s="107" t="n">
        <x:v>3</x:v>
      </x:c>
      <x:c r="J22" s="107"/>
      <x:c r="K22" s="104" t="n">
        <x:v>2</x:v>
      </x:c>
      <x:c r="L22" s="107"/>
      <x:c r="M22" s="107"/>
      <x:c r="N22" s="108" t="n">
        <x:v>0</x:v>
      </x:c>
      <x:c r="O22" s="107" t="str">
        <x:v>NO CONTRATADA</x:v>
      </x:c>
      <x:c r="P22" s="109" t="n">
        <x:f>IF(AND(E22="Sí",O22="ACEPTADA"),K22,0)</x:f>
        <x:v>0</x:v>
      </x:c>
      <x:c r="Q22" s="109" t="n">
        <x:f>IF(E22="Sí",K22*N22,0)</x:f>
        <x:v>0</x:v>
      </x:c>
      <x:c r="R22" s="104" t="str">
        <x:v>Los precios se relacionan con propuesta de valor y TCO, sin pretender ser una validación de mercado real.</x:v>
      </x:c>
      <x:c r="S22" s="104" t="str">
        <x:v>Tabla de planes</x:v>
      </x:c>
      <x:c r="T22" s="104" t="str">
        <x:v>IPE.BIZ.01</x:v>
      </x:c>
      <x:c r="U22" s="107" t="str"/>
    </x:row>
    <x:row r="23">
      <x:c r="A23" s="104" t="str">
        <x:v>IPE.BIZ.03</x:v>
      </x:c>
      <x:c r="B23" s="104" t="str">
        <x:v>Modelo de negocio</x:v>
      </x:c>
      <x:c r="C23" s="104" t="str">
        <x:v>Estimar punto de equilibrio o escenario de viabilidad</x:v>
      </x:c>
      <x:c r="D23" s="104" t="str">
        <x:v>ADV</x:v>
      </x:c>
      <x:c r="E23" s="107" t="str">
        <x:v>No</x:v>
      </x:c>
      <x:c r="F23" s="104" t="str">
        <x:v>H5</x:v>
      </x:c>
      <x:c r="G23" s="107"/>
      <x:c r="H23" s="104" t="n">
        <x:v>4</x:v>
      </x:c>
      <x:c r="I23" s="107" t="n">
        <x:v>4</x:v>
      </x:c>
      <x:c r="J23" s="107"/>
      <x:c r="K23" s="104" t="n">
        <x:v>3</x:v>
      </x:c>
      <x:c r="L23" s="107"/>
      <x:c r="M23" s="107"/>
      <x:c r="N23" s="108" t="n">
        <x:v>0</x:v>
      </x:c>
      <x:c r="O23" s="107" t="str">
        <x:v>NO CONTRATADA</x:v>
      </x:c>
      <x:c r="P23" s="109" t="n">
        <x:f>IF(AND(E23="Sí",O23="ACEPTADA"),K23,0)</x:f>
        <x:v>0</x:v>
      </x:c>
      <x:c r="Q23" s="109" t="n">
        <x:f>IF(E23="Sí",K23*N23,0)</x:f>
        <x:v>0</x:v>
      </x:c>
      <x:c r="R23" s="104" t="str">
        <x:v>El escenario identifica unidades/clientes/ingresos necesarios bajo hipótesis visibles.</x:v>
      </x:c>
      <x:c r="S23" s="104" t="str">
        <x:v>Cálculo + gráfico</x:v>
      </x:c>
      <x:c r="T23" s="104" t="str">
        <x:v>IPE.BIZ.02</x:v>
      </x:c>
      <x:c r="U23" s="107" t="str"/>
    </x:row>
    <x:row r="24">
      <x:c r="A24" s="104" t="str">
        <x:v>IPE.RISK.01</x:v>
      </x:c>
      <x:c r="B24" s="104" t="str">
        <x:v>Viabilidad</x:v>
      </x:c>
      <x:c r="C24" s="104" t="str">
        <x:v>Identificar riesgos legales, comerciales y operativos</x:v>
      </x:c>
      <x:c r="D24" s="104" t="str">
        <x:v>OPT</x:v>
      </x:c>
      <x:c r="E24" s="107" t="str">
        <x:v>No</x:v>
      </x:c>
      <x:c r="F24" s="104" t="str">
        <x:v>H4</x:v>
      </x:c>
      <x:c r="G24" s="107"/>
      <x:c r="H24" s="104" t="n">
        <x:v>3</x:v>
      </x:c>
      <x:c r="I24" s="107" t="n">
        <x:v>3</x:v>
      </x:c>
      <x:c r="J24" s="107"/>
      <x:c r="K24" s="104" t="n">
        <x:v>2</x:v>
      </x:c>
      <x:c r="L24" s="107"/>
      <x:c r="M24" s="107"/>
      <x:c r="N24" s="108" t="n">
        <x:v>0</x:v>
      </x:c>
      <x:c r="O24" s="107" t="str">
        <x:v>NO CONTRATADA</x:v>
      </x:c>
      <x:c r="P24" s="109" t="n">
        <x:f>IF(AND(E24="Sí",O24="ACEPTADA"),K24,0)</x:f>
        <x:v>0</x:v>
      </x:c>
      <x:c r="Q24" s="109" t="n">
        <x:f>IF(E24="Sí",K24*N24,0)</x:f>
        <x:v>0</x:v>
      </x:c>
      <x:c r="R24" s="104" t="str">
        <x:v>Cada riesgo tiene impacto, probabilidad cualitativa y respuesta inicial.</x:v>
      </x:c>
      <x:c r="S24" s="104" t="str">
        <x:v>Matriz de riesgos</x:v>
      </x:c>
      <x:c r="T24" s="104" t="str">
        <x:v>AulaFlow</x:v>
      </x:c>
      <x:c r="U24" s="107" t="str"/>
    </x:row>
    <x:row r="25">
      <x:c r="A25" s="104" t="str">
        <x:v>IPE.RISK.02</x:v>
      </x:c>
      <x:c r="B25" s="104" t="str">
        <x:v>Viabilidad</x:v>
      </x:c>
      <x:c r="C25" s="104" t="str">
        <x:v>Revisar privacidad/licencias/uso de terceros a nivel de negocio</x:v>
      </x:c>
      <x:c r="D25" s="104" t="str">
        <x:v>OPT</x:v>
      </x:c>
      <x:c r="E25" s="107" t="str">
        <x:v>No</x:v>
      </x:c>
      <x:c r="F25" s="104" t="str">
        <x:v>H4</x:v>
      </x:c>
      <x:c r="G25" s="107"/>
      <x:c r="H25" s="104" t="n">
        <x:v>3</x:v>
      </x:c>
      <x:c r="I25" s="107" t="n">
        <x:v>3</x:v>
      </x:c>
      <x:c r="J25" s="107"/>
      <x:c r="K25" s="104" t="n">
        <x:v>2</x:v>
      </x:c>
      <x:c r="L25" s="107"/>
      <x:c r="M25" s="107"/>
      <x:c r="N25" s="108" t="n">
        <x:v>0</x:v>
      </x:c>
      <x:c r="O25" s="107" t="str">
        <x:v>NO CONTRATADA</x:v>
      </x:c>
      <x:c r="P25" s="109" t="n">
        <x:f>IF(AND(E25="Sí",O25="ACEPTADA"),K25,0)</x:f>
        <x:v>0</x:v>
      </x:c>
      <x:c r="Q25" s="109" t="n">
        <x:f>IF(E25="Sí",K25*N25,0)</x:f>
        <x:v>0</x:v>
      </x:c>
      <x:c r="R25" s="104" t="str">
        <x:v>Se identifican obligaciones o límites relevantes sin presentar asesoramiento legal ficticio.</x:v>
      </x:c>
      <x:c r="S25" s="104" t="str">
        <x:v>Checklist + fuentes</x:v>
      </x:c>
      <x:c r="T25" s="104" t="str">
        <x:v>Dependencias/proveedores</x:v>
      </x:c>
      <x:c r="U25" s="107" t="str"/>
    </x:row>
    <x:row r="26">
      <x:c r="A26" s="104" t="str">
        <x:v>IPE.PITCH.01</x:v>
      </x:c>
      <x:c r="B26" s="104" t="str">
        <x:v>Comunicación profesional</x:v>
      </x:c>
      <x:c r="C26" s="104" t="str">
        <x:v>Preparar pitch de 3-5 minutos del producto</x:v>
      </x:c>
      <x:c r="D26" s="104" t="str">
        <x:v>OPT</x:v>
      </x:c>
      <x:c r="E26" s="107" t="str">
        <x:v>No</x:v>
      </x:c>
      <x:c r="F26" s="104" t="str">
        <x:v>H5</x:v>
      </x:c>
      <x:c r="G26" s="107"/>
      <x:c r="H26" s="104" t="n">
        <x:v>3</x:v>
      </x:c>
      <x:c r="I26" s="107" t="n">
        <x:v>3</x:v>
      </x:c>
      <x:c r="J26" s="107"/>
      <x:c r="K26" s="104" t="n">
        <x:v>2</x:v>
      </x:c>
      <x:c r="L26" s="107"/>
      <x:c r="M26" s="107"/>
      <x:c r="N26" s="108" t="n">
        <x:v>0</x:v>
      </x:c>
      <x:c r="O26" s="107" t="str">
        <x:v>NO CONTRATADA</x:v>
      </x:c>
      <x:c r="P26" s="109" t="n">
        <x:f>IF(AND(E26="Sí",O26="ACEPTADA"),K26,0)</x:f>
        <x:v>0</x:v>
      </x:c>
      <x:c r="Q26" s="109" t="n">
        <x:f>IF(E26="Sí",K26*N26,0)</x:f>
        <x:v>0</x:v>
      </x:c>
      <x:c r="R26" s="104" t="str">
        <x:v>El pitch explica problema, solución, evidencia, modelo y siguiente paso dentro del tiempo.</x:v>
      </x:c>
      <x:c r="S26" s="104" t="str">
        <x:v>Presentación/pitch</x:v>
      </x:c>
      <x:c r="T26" s="104" t="str">
        <x:v>IPE.VAL.*; IPE.BIZ.*</x:v>
      </x:c>
      <x:c r="U26" s="107" t="str"/>
    </x:row>
    <x:row r="27">
      <x:c r="A27" s="104" t="str">
        <x:v>IPE.PITCH.02</x:v>
      </x:c>
      <x:c r="B27" s="104" t="str">
        <x:v>Comunicación profesional</x:v>
      </x:c>
      <x:c r="C27" s="104" t="str">
        <x:v>Preparar ficha ejecutiva de una página</x:v>
      </x:c>
      <x:c r="D27" s="104" t="str">
        <x:v>OPT</x:v>
      </x:c>
      <x:c r="E27" s="107" t="str">
        <x:v>No</x:v>
      </x:c>
      <x:c r="F27" s="104" t="str">
        <x:v>H5</x:v>
      </x:c>
      <x:c r="G27" s="107"/>
      <x:c r="H27" s="104" t="n">
        <x:v>2</x:v>
      </x:c>
      <x:c r="I27" s="107" t="n">
        <x:v>2</x:v>
      </x:c>
      <x:c r="J27" s="107"/>
      <x:c r="K27" s="104" t="n">
        <x:v>1</x:v>
      </x:c>
      <x:c r="L27" s="107"/>
      <x:c r="M27" s="107"/>
      <x:c r="N27" s="108" t="n">
        <x:v>0</x:v>
      </x:c>
      <x:c r="O27" s="107" t="str">
        <x:v>NO CONTRATADA</x:v>
      </x:c>
      <x:c r="P27" s="109" t="n">
        <x:f>IF(AND(E27="Sí",O27="ACEPTADA"),K27,0)</x:f>
        <x:v>0</x:v>
      </x:c>
      <x:c r="Q27" s="109" t="n">
        <x:f>IF(E27="Sí",K27*N27,0)</x:f>
        <x:v>0</x:v>
      </x:c>
      <x:c r="R27" s="104" t="str">
        <x:v>Una persona externa entiende producto, usuario, valor y estado del proyecto en una página.</x:v>
      </x:c>
      <x:c r="S27" s="104" t="str">
        <x:v>One-pager</x:v>
      </x:c>
      <x:c r="T27" s="104" t="str">
        <x:v>IPE.PITCH.01</x:v>
      </x:c>
      <x:c r="U27" s="107" t="str"/>
    </x:row>
    <x:row r="28">
      <x:c r="A28" s="104" t="str">
        <x:v>IPE.PITCH.03</x:v>
      </x:c>
      <x:c r="B28" s="104" t="str">
        <x:v>Comunicación profesional</x:v>
      </x:c>
      <x:c r="C28" s="104" t="str">
        <x:v>Responder preguntas de viabilidad con datos del proyecto</x:v>
      </x:c>
      <x:c r="D28" s="104" t="str">
        <x:v>ADV</x:v>
      </x:c>
      <x:c r="E28" s="107" t="str">
        <x:v>No</x:v>
      </x:c>
      <x:c r="F28" s="104" t="str">
        <x:v>H5</x:v>
      </x:c>
      <x:c r="G28" s="107"/>
      <x:c r="H28" s="104" t="n">
        <x:v>2</x:v>
      </x:c>
      <x:c r="I28" s="107" t="n">
        <x:v>2</x:v>
      </x:c>
      <x:c r="J28" s="107"/>
      <x:c r="K28" s="104" t="n">
        <x:v>1</x:v>
      </x:c>
      <x:c r="L28" s="107"/>
      <x:c r="M28" s="107"/>
      <x:c r="N28" s="108" t="n">
        <x:v>0</x:v>
      </x:c>
      <x:c r="O28" s="107" t="str">
        <x:v>NO CONTRATADA</x:v>
      </x:c>
      <x:c r="P28" s="109" t="n">
        <x:f>IF(AND(E28="Sí",O28="ACEPTADA"),K28,0)</x:f>
        <x:v>0</x:v>
      </x:c>
      <x:c r="Q28" s="109" t="n">
        <x:f>IF(E28="Sí",K28*N28,0)</x:f>
        <x:v>0</x:v>
      </x:c>
      <x:c r="R28" s="104" t="str">
        <x:v>El equipo puede justificar costes, decisiones y riesgos sin respuestas memorizadas vacías.</x:v>
      </x:c>
      <x:c r="S28" s="104" t="str">
        <x:v>Defensa breve</x:v>
      </x:c>
      <x:c r="T28" s="104" t="str">
        <x:v>IPE.COST.*; IPE.RISK.*</x:v>
      </x:c>
      <x:c r="U28" s="107" t="str"/>
    </x:row>
    <x:row r="29">
      <x:c r="A29"/>
      <x:c r="B29"/>
      <x:c r="C29"/>
      <x:c r="D29"/>
      <x:c r="E29"/>
      <x:c r="F29"/>
      <x:c r="G29"/>
      <x:c r="H29"/>
      <x:c r="I29"/>
      <x:c r="J29"/>
      <x:c r="K29"/>
      <x:c r="L29"/>
      <x:c r="M29"/>
      <x:c r="N29"/>
      <x:c r="O29"/>
      <x:c r="P29"/>
      <x:c r="Q29"/>
      <x:c r="R29"/>
      <x:c r="S29"/>
      <x:c r="T29"/>
      <x:c r="U29"/>
    </x:row>
    <x:row r="30">
      <x:c r="A30"/>
      <x:c r="B30"/>
      <x:c r="C30"/>
      <x:c r="D30"/>
      <x:c r="E30"/>
      <x:c r="F30"/>
      <x:c r="G30"/>
      <x:c r="H30"/>
      <x:c r="I30"/>
      <x:c r="J30"/>
      <x:c r="K30"/>
      <x:c r="L30"/>
      <x:c r="M30"/>
      <x:c r="N30"/>
      <x:c r="O30"/>
      <x:c r="P30"/>
      <x:c r="Q30"/>
      <x:c r="R30"/>
      <x:c r="S30"/>
      <x:c r="T30"/>
      <x:c r="U30"/>
    </x:row>
    <x:row r="31">
      <x:c r="A31"/>
      <x:c r="B31"/>
      <x:c r="C31"/>
      <x:c r="D31"/>
      <x:c r="E31"/>
      <x:c r="F31"/>
      <x:c r="G31"/>
      <x:c r="H31"/>
      <x:c r="I31"/>
      <x:c r="J31"/>
      <x:c r="K31"/>
      <x:c r="L31"/>
      <x:c r="M31"/>
      <x:c r="N31"/>
      <x:c r="O31"/>
      <x:c r="P31"/>
      <x:c r="Q31"/>
      <x:c r="R31"/>
      <x:c r="S31"/>
      <x:c r="T31"/>
      <x:c r="U31"/>
    </x:row>
    <x:row r="32">
      <x:c r="A32"/>
      <x:c r="B32"/>
      <x:c r="C32"/>
      <x:c r="D32"/>
      <x:c r="E32"/>
      <x:c r="F32"/>
      <x:c r="G32"/>
      <x:c r="H32"/>
      <x:c r="I32"/>
      <x:c r="J32"/>
      <x:c r="K32"/>
      <x:c r="L32"/>
      <x:c r="M32"/>
      <x:c r="N32"/>
      <x:c r="O32"/>
      <x:c r="P32"/>
      <x:c r="Q32"/>
      <x:c r="R32"/>
      <x:c r="S32"/>
      <x:c r="T32"/>
      <x:c r="U32"/>
    </x:row>
    <x:row r="33">
      <x:c r="A33"/>
      <x:c r="B33"/>
      <x:c r="C33"/>
      <x:c r="D33"/>
      <x:c r="E33"/>
      <x:c r="F33"/>
      <x:c r="G33"/>
      <x:c r="H33"/>
      <x:c r="I33"/>
      <x:c r="J33"/>
      <x:c r="K33"/>
      <x:c r="L33"/>
      <x:c r="M33"/>
      <x:c r="N33"/>
      <x:c r="O33"/>
      <x:c r="P33"/>
      <x:c r="Q33"/>
      <x:c r="R33"/>
      <x:c r="S33"/>
      <x:c r="T33"/>
      <x:c r="U33"/>
    </x:row>
    <x:row r="34">
      <x:c r="A34"/>
      <x:c r="B34"/>
      <x:c r="C34"/>
      <x:c r="D34"/>
      <x:c r="E34"/>
      <x:c r="F34"/>
      <x:c r="G34"/>
      <x:c r="H34"/>
      <x:c r="I34"/>
      <x:c r="J34"/>
      <x:c r="K34"/>
      <x:c r="L34"/>
      <x:c r="M34"/>
      <x:c r="N34"/>
      <x:c r="O34"/>
      <x:c r="P34"/>
      <x:c r="Q34"/>
      <x:c r="R34"/>
      <x:c r="S34"/>
      <x:c r="T34"/>
      <x:c r="U34"/>
    </x:row>
    <x:row r="35">
      <x:c r="A35"/>
      <x:c r="B35"/>
      <x:c r="C35"/>
      <x:c r="D35"/>
      <x:c r="E35"/>
      <x:c r="F35"/>
      <x:c r="G35"/>
      <x:c r="H35"/>
      <x:c r="I35"/>
      <x:c r="J35"/>
      <x:c r="K35"/>
      <x:c r="L35"/>
      <x:c r="M35"/>
      <x:c r="N35"/>
      <x:c r="O35"/>
      <x:c r="P35"/>
      <x:c r="Q35"/>
      <x:c r="R35"/>
      <x:c r="S35"/>
      <x:c r="T35"/>
      <x:c r="U35"/>
    </x:row>
    <x:row r="36">
      <x:c r="A36"/>
      <x:c r="B36"/>
      <x:c r="C36"/>
      <x:c r="D36"/>
      <x:c r="E36"/>
      <x:c r="F36"/>
      <x:c r="G36"/>
      <x:c r="H36"/>
      <x:c r="I36"/>
      <x:c r="J36"/>
      <x:c r="K36"/>
      <x:c r="L36"/>
      <x:c r="M36"/>
      <x:c r="N36"/>
      <x:c r="O36"/>
      <x:c r="P36"/>
      <x:c r="Q36"/>
      <x:c r="R36"/>
      <x:c r="S36"/>
      <x:c r="T36"/>
      <x:c r="U36"/>
    </x:row>
    <x:row r="37">
      <x:c r="A37"/>
      <x:c r="B37"/>
      <x:c r="C37"/>
      <x:c r="D37"/>
      <x:c r="E37"/>
      <x:c r="F37"/>
      <x:c r="G37"/>
      <x:c r="H37"/>
      <x:c r="I37"/>
      <x:c r="J37"/>
      <x:c r="K37"/>
      <x:c r="L37"/>
      <x:c r="M37"/>
      <x:c r="N37"/>
      <x:c r="O37"/>
      <x:c r="P37"/>
      <x:c r="Q37"/>
      <x:c r="R37"/>
      <x:c r="S37"/>
      <x:c r="T37"/>
      <x:c r="U37"/>
    </x:row>
    <x:row r="38">
      <x:c r="A38"/>
      <x:c r="B38"/>
      <x:c r="C38"/>
      <x:c r="D38"/>
      <x:c r="E38"/>
      <x:c r="F38"/>
      <x:c r="G38"/>
      <x:c r="H38"/>
      <x:c r="I38"/>
      <x:c r="J38"/>
      <x:c r="K38"/>
      <x:c r="L38"/>
      <x:c r="M38"/>
      <x:c r="N38"/>
      <x:c r="O38"/>
      <x:c r="P38"/>
      <x:c r="Q38"/>
      <x:c r="R38"/>
      <x:c r="S38"/>
      <x:c r="T38"/>
      <x:c r="U38"/>
    </x:row>
    <x:row r="39">
      <x:c r="A39"/>
      <x:c r="B39"/>
      <x:c r="C39"/>
      <x:c r="D39"/>
      <x:c r="E39"/>
      <x:c r="F39"/>
      <x:c r="G39"/>
      <x:c r="H39"/>
      <x:c r="I39"/>
      <x:c r="J39"/>
      <x:c r="K39"/>
      <x:c r="L39"/>
      <x:c r="M39"/>
      <x:c r="N39"/>
      <x:c r="O39"/>
      <x:c r="P39"/>
      <x:c r="Q39"/>
      <x:c r="R39"/>
      <x:c r="S39"/>
      <x:c r="T39"/>
      <x:c r="U39"/>
    </x:row>
    <x:row r="40">
      <x:c r="A40"/>
      <x:c r="B40"/>
      <x:c r="C40"/>
      <x:c r="D40"/>
      <x:c r="E40"/>
      <x:c r="F40"/>
      <x:c r="G40"/>
      <x:c r="H40"/>
      <x:c r="I40"/>
      <x:c r="J40"/>
      <x:c r="K40"/>
      <x:c r="L40"/>
      <x:c r="M40"/>
      <x:c r="N40"/>
      <x:c r="O40"/>
      <x:c r="P40"/>
      <x:c r="Q40"/>
      <x:c r="R40"/>
      <x:c r="S40"/>
      <x:c r="T40"/>
      <x:c r="U40"/>
    </x:row>
    <x:row r="41">
      <x:c r="A41"/>
      <x:c r="B41"/>
      <x:c r="C41"/>
      <x:c r="D41"/>
      <x:c r="E41"/>
      <x:c r="F41"/>
      <x:c r="G41"/>
      <x:c r="H41"/>
      <x:c r="I41"/>
      <x:c r="J41"/>
      <x:c r="K41"/>
      <x:c r="L41"/>
      <x:c r="M41"/>
      <x:c r="N41"/>
      <x:c r="O41"/>
      <x:c r="P41"/>
      <x:c r="Q41"/>
      <x:c r="R41"/>
      <x:c r="S41"/>
      <x:c r="T41"/>
      <x:c r="U41"/>
    </x:row>
    <x:row r="42">
      <x:c r="A42"/>
      <x:c r="B42"/>
      <x:c r="C42"/>
      <x:c r="D42"/>
      <x:c r="E42"/>
      <x:c r="F42"/>
      <x:c r="G42"/>
      <x:c r="H42"/>
      <x:c r="I42"/>
      <x:c r="J42"/>
      <x:c r="K42"/>
      <x:c r="L42"/>
      <x:c r="M42"/>
      <x:c r="N42"/>
      <x:c r="O42"/>
      <x:c r="P42"/>
      <x:c r="Q42"/>
      <x:c r="R42"/>
      <x:c r="S42"/>
      <x:c r="T42"/>
      <x:c r="U42"/>
    </x:row>
    <x:row r="43">
      <x:c r="A43"/>
      <x:c r="B43"/>
      <x:c r="C43"/>
      <x:c r="D43"/>
      <x:c r="E43"/>
      <x:c r="F43"/>
      <x:c r="G43"/>
      <x:c r="H43"/>
      <x:c r="I43"/>
      <x:c r="J43"/>
      <x:c r="K43"/>
      <x:c r="L43"/>
      <x:c r="M43"/>
      <x:c r="N43"/>
      <x:c r="O43"/>
      <x:c r="P43"/>
      <x:c r="Q43"/>
      <x:c r="R43"/>
      <x:c r="S43"/>
      <x:c r="T43"/>
      <x:c r="U43"/>
    </x:row>
    <x:row r="44">
      <x:c r="A44"/>
      <x:c r="B44"/>
      <x:c r="C44"/>
      <x:c r="D44"/>
      <x:c r="E44"/>
      <x:c r="F44"/>
      <x:c r="G44"/>
      <x:c r="H44"/>
      <x:c r="I44"/>
      <x:c r="J44"/>
      <x:c r="K44"/>
      <x:c r="L44"/>
      <x:c r="M44"/>
      <x:c r="N44"/>
      <x:c r="O44"/>
      <x:c r="P44"/>
      <x:c r="Q44"/>
      <x:c r="R44"/>
      <x:c r="S44"/>
      <x:c r="T44"/>
      <x:c r="U44"/>
    </x:row>
    <x:row r="45">
      <x:c r="A45"/>
      <x:c r="B45"/>
      <x:c r="C45"/>
      <x:c r="D45"/>
      <x:c r="E45"/>
      <x:c r="F45"/>
      <x:c r="G45"/>
      <x:c r="H45"/>
      <x:c r="I45"/>
      <x:c r="J45"/>
      <x:c r="K45"/>
      <x:c r="L45"/>
      <x:c r="M45"/>
      <x:c r="N45"/>
      <x:c r="O45"/>
      <x:c r="P45"/>
      <x:c r="Q45"/>
      <x:c r="R45"/>
      <x:c r="S45"/>
      <x:c r="T45"/>
      <x:c r="U45"/>
    </x:row>
    <x:row r="46">
      <x:c r="A46"/>
      <x:c r="B46"/>
      <x:c r="C46"/>
      <x:c r="D46"/>
      <x:c r="E46"/>
      <x:c r="F46"/>
      <x:c r="G46"/>
      <x:c r="H46"/>
      <x:c r="I46"/>
      <x:c r="J46"/>
      <x:c r="K46"/>
      <x:c r="L46"/>
      <x:c r="M46"/>
      <x:c r="N46"/>
      <x:c r="O46"/>
      <x:c r="P46"/>
      <x:c r="Q46"/>
      <x:c r="R46"/>
      <x:c r="S46"/>
      <x:c r="T46"/>
      <x:c r="U46"/>
    </x:row>
    <x:row r="47">
      <x:c r="A47"/>
      <x:c r="B47"/>
      <x:c r="C47"/>
      <x:c r="D47"/>
      <x:c r="E47"/>
      <x:c r="F47"/>
      <x:c r="G47"/>
      <x:c r="H47"/>
      <x:c r="I47"/>
      <x:c r="J47"/>
      <x:c r="K47"/>
      <x:c r="L47"/>
      <x:c r="M47"/>
      <x:c r="N47"/>
      <x:c r="O47"/>
      <x:c r="P47"/>
      <x:c r="Q47"/>
      <x:c r="R47"/>
      <x:c r="S47"/>
      <x:c r="T47"/>
      <x:c r="U47"/>
    </x:row>
    <x:row r="48">
      <x:c r="A48"/>
      <x:c r="B48"/>
      <x:c r="C48"/>
      <x:c r="D48"/>
      <x:c r="E48"/>
      <x:c r="F48"/>
      <x:c r="G48"/>
      <x:c r="H48"/>
      <x:c r="I48"/>
      <x:c r="J48"/>
      <x:c r="K48"/>
      <x:c r="L48"/>
      <x:c r="M48"/>
      <x:c r="N48"/>
      <x:c r="O48"/>
      <x:c r="P48"/>
      <x:c r="Q48"/>
      <x:c r="R48"/>
      <x:c r="S48"/>
      <x:c r="T48"/>
      <x:c r="U48"/>
    </x:row>
    <x:row r="49">
      <x:c r="A49"/>
      <x:c r="B49"/>
      <x:c r="C49"/>
      <x:c r="D49"/>
      <x:c r="E49"/>
      <x:c r="F49"/>
      <x:c r="G49"/>
      <x:c r="H49"/>
      <x:c r="I49"/>
      <x:c r="J49"/>
      <x:c r="K49"/>
      <x:c r="L49"/>
      <x:c r="M49"/>
      <x:c r="N49"/>
      <x:c r="O49"/>
      <x:c r="P49"/>
      <x:c r="Q49"/>
      <x:c r="R49"/>
      <x:c r="S49"/>
      <x:c r="T49"/>
      <x:c r="U49"/>
    </x:row>
  </x:sheetData>
  <x:mergeCells>
    <x:mergeCell ref="A1:U1"/>
    <x:mergeCell ref="A2:U2"/>
  </x:mergeCells>
  <x:conditionalFormatting sqref="D15:D28">
    <x:cfRule type="expression" dxfId="42" priority="1">
      <x:formula>D15="OBL"</x:formula>
    </x:cfRule>
    <x:cfRule type="expression" dxfId="43" priority="2">
      <x:formula>D15="ADV"</x:formula>
    </x:cfRule>
    <x:cfRule type="expression" dxfId="44" priority="3">
      <x:formula>D15="OPT"</x:formula>
    </x:cfRule>
  </x:conditionalFormatting>
  <x:conditionalFormatting sqref="N15:N28">
    <x:cfRule type="dataBar" priority="4">
      <x:dataBar>
        <x:cfvo type="min"/>
        <x:cfvo type="max"/>
        <x:color rgb="FFA02B93"/>
      </x:dataBar>
      <x:extLst>
        <x:ext xmlns:x14="http://schemas.microsoft.com/office/spreadsheetml/2009/9/main" uri="{B025F937-C7B1-47D3-B67F-A62EFF666E3E}">
          <x14:id>{739BE7C0-D34C-D5B0-EB00-78877D17AE2D}</x14:id>
        </x:ext>
      </x:extLst>
    </x:cfRule>
  </x:conditionalFormatting>
  <x:dataValidations count="5">
    <x:dataValidation type="list" sqref="D15:D28">
      <x:formula1>"OBL,OPT,ADV"</x:formula1>
    </x:dataValidation>
    <x:dataValidation type="list" sqref="E15:E28">
      <x:formula1>"Sí,No"</x:formula1>
    </x:dataValidation>
    <x:dataValidation type="list" sqref="O15:O28">
      <x:formula1>"NO CONTRATADA,BACKLOG,PLANIFICADA,EN DESARROLLO,EN REVISIÓN,ACEPTADA,BLOQUEADA,RECUPERACIÓN"</x:formula1>
    </x:dataValidation>
    <x:dataValidation type="list" sqref="G15:G28">
      <x:formula1>"H0,H1,H2,H3,H4,H5"</x:formula1>
    </x:dataValidation>
    <x:dataValidation type="list" sqref="L15:L28">
      <x:formula1>'16 Contrato firma'!$B$7:$B$10</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4" id="{739BE7C0-D34C-D5B0-EB00-78877D17AE2D}">
            <x14:dataBar gradient="1">
              <x14:cfvo type="min"/>
              <x14:cfvo type="max"/>
              <x14:fillColor rgb="FFA02B93"/>
            </x14:dataBar>
          </x14:cfRule>
          <xm:sqref>N15:N28</xm:sqref>
        </x14:conditionalFormatting>
      </x14:conditionalFormattings>
    </x:ext>
  </x:extLst>
</x:worksheet>
</file>

<file path=xl/worksheets/sheet14.xml><?xml version="1.0" encoding="utf-8"?>
<x:worksheet xmlns:x="http://schemas.openxmlformats.org/spreadsheetml/2006/main">
  <x:sheetFormatPr defaultRowHeight="15"/>
  <x:cols>
    <x:col min="1" max="1" width="20" hidden="0" customWidth="1"/>
    <x:col min="2" max="2" width="16" hidden="0" customWidth="1"/>
    <x:col min="3" max="3" width="16" hidden="0" customWidth="1"/>
    <x:col min="4" max="4" width="19" hidden="0" customWidth="1"/>
    <x:col min="5" max="5" width="19" hidden="0" customWidth="1"/>
    <x:col min="6" max="6" width="18" hidden="0" customWidth="1"/>
    <x:col min="7" max="7" width="18" hidden="0" customWidth="1"/>
    <x:col min="8" max="8" width="14" hidden="0" customWidth="1"/>
    <x:col min="9" max="9" width="14" hidden="0" customWidth="1"/>
  </x:cols>
  <x:sheetData>
    <x:row r="1" ht="32" customHeight="1">
      <x:c r="A1" s="81" t="str">
        <x:v>AulaFlow 2.0 · Reparto individual v1.0 (2–4 integrantes)</x:v>
      </x:c>
      <x:c r="B1" s="81"/>
      <x:c r="C1" s="81"/>
      <x:c r="D1" s="81"/>
      <x:c r="E1" s="81"/>
      <x:c r="F1" s="81"/>
      <x:c r="G1" s="81"/>
      <x:c r="H1" s="81"/>
      <x:c r="I1" s="81"/>
    </x:row>
    <x:row r="2" ht="34" customHeight="1">
      <x:c r="A2" s="70" t="str">
        <x:v>Nombres enlazados al contrato. Asigna cada tarea seleccionada a una persona inscrita; revisa los controles antes de interpretar el techo.</x:v>
      </x:c>
      <x:c r="B2" s="70"/>
      <x:c r="C2" s="70"/>
      <x:c r="D2" s="70"/>
      <x:c r="E2" s="70"/>
      <x:c r="F2" s="70"/>
      <x:c r="G2" s="70"/>
      <x:c r="H2" s="70"/>
      <x:c r="I2" s="70"/>
    </x:row>
    <x:row r="3">
      <x:c r="A3" s="16"/>
      <x:c r="B3" s="16"/>
      <x:c r="C3" s="16"/>
      <x:c r="D3" s="16"/>
      <x:c r="E3" s="16"/>
      <x:c r="F3" s="16"/>
      <x:c r="G3" s="16"/>
      <x:c r="H3" s="16"/>
      <x:c r="I3" s="16"/>
    </x:row>
    <x:row r="4" ht="54" customHeight="1">
      <x:c r="A4" s="79" t="str">
        <x:v>Integrante</x:v>
      </x:c>
      <x:c r="B4" s="79" t="str">
        <x:v>AT pers. contratados</x:v>
      </x:c>
      <x:c r="C4" s="79" t="str">
        <x:v>AT pers. validados</x:v>
      </x:c>
      <x:c r="D4" s="79" t="str">
        <x:v>AT equipo contratado/persona</x:v>
      </x:c>
      <x:c r="E4" s="79" t="str">
        <x:v>AT equipo validado/persona</x:v>
      </x:c>
      <x:c r="F4" s="79" t="str">
        <x:v>AT efectivo proyectado</x:v>
      </x:c>
      <x:c r="G4" s="79" t="str">
        <x:v>AT efectivo validado</x:v>
      </x:c>
      <x:c r="H4" s="79" t="str">
        <x:v>Techo proyectado</x:v>
      </x:c>
      <x:c r="I4" s="79" t="str">
        <x:v>Techo validado</x:v>
      </x:c>
    </x:row>
    <x:row r="5" ht="42" customHeight="1">
      <x:c r="A5" s="82" t="str">
        <x:f>IF('16 Contrato firma'!B7="","",'16 Contrato firma'!B7)</x:f>
      </x:c>
      <x:c r="B5" s="244" t="str">
        <x:f>IF(OR(A5="",'16 Contrato firma'!$E$11&lt;&gt;"OK"),"",SUMIFS('01 PI II'!$K$15:$K$48,'01 PI II'!$L$15:$L$48,A5,'01 PI II'!$E$15:$E$48,"Sí")+SUMIFS('02 AD'!$K$15:$K$67,'02 AD'!$L$15:$L$67,A5,'02 AD'!$E$15:$E$67,"Sí")+SUMIFS('03 PMDM'!$K$15:$K$49,'03 PMDM'!$L$15:$L$49,A5,'03 PMDM'!$E$15:$E$49,"Sí")+SUMIFS('05 DI'!$K$15:$K$45,'05 DI'!$L$15:$L$45,A5,'05 DI'!$E$15:$E$45,"Sí")+SUMIFS('06 PSP'!$K$15:$K$39,'06 PSP'!$L$15:$L$39,A5,'06 PSP'!$E$15:$E$39,"Sí")+SUMIFS('07 SGE'!$K$15:$K$35,'07 SGE'!$L$15:$L$35,A5,'07 SGE'!$E$15:$E$35,"Sí")+SUMIFS('08 Nube'!$K$15:$K$42,'08 Nube'!$L$15:$L$42,A5,'08 Nube'!$E$15:$E$42,"Sí")+SUMIFS('09 Digital'!$K$15:$K$27,'09 Digital'!$L$15:$L$27,A5,'09 Digital'!$E$15:$E$27,"Sí")+SUMIFS('10 Sostenib'!$K$15:$K$24,'10 Sostenib'!$L$15:$L$24,A5,'10 Sostenib'!$E$15:$E$24,"Sí")+SUMIFS('11 IPE II'!$K$15:$K$28,'11 IPE II'!$L$15:$L$28,A5,'11 IPE II'!$E$15:$E$28,"Sí"))</x:f>
      </x:c>
      <x:c r="C5" s="244" t="str">
        <x:f>IF(OR(A5="",'16 Contrato firma'!$E$11&lt;&gt;"OK"),"",SUMIFS('01 PI II'!$P$15:$P$48,'01 PI II'!$L$15:$L$48,A5)+SUMIFS('02 AD'!$P$15:$P$67,'02 AD'!$L$15:$L$67,A5)+SUMIFS('03 PMDM'!$P$15:$P$49,'03 PMDM'!$L$15:$L$49,A5)+SUMIFS('05 DI'!$P$15:$P$45,'05 DI'!$L$15:$L$45,A5)+SUMIFS('06 PSP'!$P$15:$P$39,'06 PSP'!$L$15:$L$39,A5)+SUMIFS('07 SGE'!$P$15:$P$35,'07 SGE'!$L$15:$L$35,A5)+SUMIFS('08 Nube'!$P$15:$P$42,'08 Nube'!$L$15:$L$42,A5)+SUMIFS('09 Digital'!$P$15:$P$27,'09 Digital'!$L$15:$L$27,A5)+SUMIFS('10 Sostenib'!$P$15:$P$24,'10 Sostenib'!$L$15:$L$24,A5)+SUMIFS('11 IPE II'!$P$15:$P$28,'11 IPE II'!$L$15:$L$28,A5))</x:f>
      </x:c>
      <x:c r="D5" s="244" t="str">
        <x:f>IF(OR(A5="",'16 Contrato firma'!$E$11&lt;&gt;"OK"),"",'00 Contrato'!$D$23/'16 Contrato firma'!$B$11)</x:f>
      </x:c>
      <x:c r="E5" s="244" t="str">
        <x:f>IF(OR(A5="",'16 Contrato firma'!$E$11&lt;&gt;"OK"),"",'00 Contrato'!$E$23/'16 Contrato firma'!$B$11)</x:f>
      </x:c>
      <x:c r="F5" s="244" t="str">
        <x:f>IF(OR(A5="",'16 Contrato firma'!$E$11&lt;&gt;"OK"),"",IF(SUM($B$5:$B$8)&lt;&gt;'00 Contrato'!$D$23,"PENDIENTE_REPARTO",0.4*D5+0.6*B5))</x:f>
      </x:c>
      <x:c r="G5" s="244" t="str">
        <x:f>IF(OR(A5="",'16 Contrato firma'!$E$11&lt;&gt;"OK"),"",IF(SUM($C$5:$C$8)&lt;&gt;'00 Contrato'!$E$23,"PENDIENTE_REPARTO",0.4*E5+0.6*C5))</x:f>
      </x:c>
      <x:c r="H5" s="82" t="str">
        <x:f>IF(OR(A5="",'16 Contrato firma'!$E$11&lt;&gt;"OK"),"",IF(ISNUMBER(F5),IF(F5&lt;50,"&lt;5",IF(F5&lt;60,5,IF(F5&lt;70,6,IF(F5&lt;80,7,IF(F5&lt;90,8,IF(F5&lt;100,9,10)))))),"PENDIENTE_REPARTO"))</x:f>
      </x:c>
      <x:c r="I5" s="82" t="str">
        <x:f>IF(OR(A5="",'16 Contrato firma'!$E$11&lt;&gt;"OK"),"",IF(ISNUMBER(G5),IF(G5&lt;50,"&lt;5",IF(G5&lt;60,5,IF(G5&lt;70,6,IF(G5&lt;80,7,IF(G5&lt;90,8,IF(G5&lt;100,9,10)))))),"PENDIENTE_REPARTO"))</x:f>
      </x:c>
    </x:row>
    <x:row r="6" ht="42" customHeight="1">
      <x:c r="A6" s="82" t="str">
        <x:f>IF('16 Contrato firma'!B8="","",'16 Contrato firma'!B8)</x:f>
      </x:c>
      <x:c r="B6" s="244" t="str">
        <x:f>IF(OR(A6="",'16 Contrato firma'!$E$11&lt;&gt;"OK"),"",SUMIFS('01 PI II'!$K$15:$K$48,'01 PI II'!$L$15:$L$48,A6,'01 PI II'!$E$15:$E$48,"Sí")+SUMIFS('02 AD'!$K$15:$K$67,'02 AD'!$L$15:$L$67,A6,'02 AD'!$E$15:$E$67,"Sí")+SUMIFS('03 PMDM'!$K$15:$K$49,'03 PMDM'!$L$15:$L$49,A6,'03 PMDM'!$E$15:$E$49,"Sí")+SUMIFS('05 DI'!$K$15:$K$45,'05 DI'!$L$15:$L$45,A6,'05 DI'!$E$15:$E$45,"Sí")+SUMIFS('06 PSP'!$K$15:$K$39,'06 PSP'!$L$15:$L$39,A6,'06 PSP'!$E$15:$E$39,"Sí")+SUMIFS('07 SGE'!$K$15:$K$35,'07 SGE'!$L$15:$L$35,A6,'07 SGE'!$E$15:$E$35,"Sí")+SUMIFS('08 Nube'!$K$15:$K$42,'08 Nube'!$L$15:$L$42,A6,'08 Nube'!$E$15:$E$42,"Sí")+SUMIFS('09 Digital'!$K$15:$K$27,'09 Digital'!$L$15:$L$27,A6,'09 Digital'!$E$15:$E$27,"Sí")+SUMIFS('10 Sostenib'!$K$15:$K$24,'10 Sostenib'!$L$15:$L$24,A6,'10 Sostenib'!$E$15:$E$24,"Sí")+SUMIFS('11 IPE II'!$K$15:$K$28,'11 IPE II'!$L$15:$L$28,A6,'11 IPE II'!$E$15:$E$28,"Sí"))</x:f>
      </x:c>
      <x:c r="C6" s="244" t="str">
        <x:f>IF(OR(A6="",'16 Contrato firma'!$E$11&lt;&gt;"OK"),"",SUMIFS('01 PI II'!$P$15:$P$48,'01 PI II'!$L$15:$L$48,A6)+SUMIFS('02 AD'!$P$15:$P$67,'02 AD'!$L$15:$L$67,A6)+SUMIFS('03 PMDM'!$P$15:$P$49,'03 PMDM'!$L$15:$L$49,A6)+SUMIFS('05 DI'!$P$15:$P$45,'05 DI'!$L$15:$L$45,A6)+SUMIFS('06 PSP'!$P$15:$P$39,'06 PSP'!$L$15:$L$39,A6)+SUMIFS('07 SGE'!$P$15:$P$35,'07 SGE'!$L$15:$L$35,A6)+SUMIFS('08 Nube'!$P$15:$P$42,'08 Nube'!$L$15:$L$42,A6)+SUMIFS('09 Digital'!$P$15:$P$27,'09 Digital'!$L$15:$L$27,A6)+SUMIFS('10 Sostenib'!$P$15:$P$24,'10 Sostenib'!$L$15:$L$24,A6)+SUMIFS('11 IPE II'!$P$15:$P$28,'11 IPE II'!$L$15:$L$28,A6))</x:f>
      </x:c>
      <x:c r="D6" s="244" t="str">
        <x:f>IF(OR(A6="",'16 Contrato firma'!$E$11&lt;&gt;"OK"),"",'00 Contrato'!$D$23/'16 Contrato firma'!$B$11)</x:f>
      </x:c>
      <x:c r="E6" s="244" t="str">
        <x:f>IF(OR(A6="",'16 Contrato firma'!$E$11&lt;&gt;"OK"),"",'00 Contrato'!$E$23/'16 Contrato firma'!$B$11)</x:f>
      </x:c>
      <x:c r="F6" s="244" t="str">
        <x:f>IF(OR(A6="",'16 Contrato firma'!$E$11&lt;&gt;"OK"),"",IF(SUM($B$5:$B$8)&lt;&gt;'00 Contrato'!$D$23,"PENDIENTE_REPARTO",0.4*D6+0.6*B6))</x:f>
      </x:c>
      <x:c r="G6" s="244" t="str">
        <x:f>IF(OR(A6="",'16 Contrato firma'!$E$11&lt;&gt;"OK"),"",IF(SUM($C$5:$C$8)&lt;&gt;'00 Contrato'!$E$23,"PENDIENTE_REPARTO",0.4*E6+0.6*C6))</x:f>
      </x:c>
      <x:c r="H6" s="82" t="str">
        <x:f>IF(OR(A6="",'16 Contrato firma'!$E$11&lt;&gt;"OK"),"",IF(ISNUMBER(F6),IF(F6&lt;50,"&lt;5",IF(F6&lt;60,5,IF(F6&lt;70,6,IF(F6&lt;80,7,IF(F6&lt;90,8,IF(F6&lt;100,9,10)))))),"PENDIENTE_REPARTO"))</x:f>
      </x:c>
      <x:c r="I6" s="82" t="str">
        <x:f>IF(OR(A6="",'16 Contrato firma'!$E$11&lt;&gt;"OK"),"",IF(ISNUMBER(G6),IF(G6&lt;50,"&lt;5",IF(G6&lt;60,5,IF(G6&lt;70,6,IF(G6&lt;80,7,IF(G6&lt;90,8,IF(G6&lt;100,9,10)))))),"PENDIENTE_REPARTO"))</x:f>
      </x:c>
    </x:row>
    <x:row r="7" ht="42" customHeight="1">
      <x:c r="A7" s="82" t="str">
        <x:f>IF('16 Contrato firma'!B9="","",'16 Contrato firma'!B9)</x:f>
      </x:c>
      <x:c r="B7" s="244" t="str">
        <x:f>IF(OR(A7="",'16 Contrato firma'!$E$11&lt;&gt;"OK"),"",SUMIFS('01 PI II'!$K$15:$K$48,'01 PI II'!$L$15:$L$48,A7,'01 PI II'!$E$15:$E$48,"Sí")+SUMIFS('02 AD'!$K$15:$K$67,'02 AD'!$L$15:$L$67,A7,'02 AD'!$E$15:$E$67,"Sí")+SUMIFS('03 PMDM'!$K$15:$K$49,'03 PMDM'!$L$15:$L$49,A7,'03 PMDM'!$E$15:$E$49,"Sí")+SUMIFS('05 DI'!$K$15:$K$45,'05 DI'!$L$15:$L$45,A7,'05 DI'!$E$15:$E$45,"Sí")+SUMIFS('06 PSP'!$K$15:$K$39,'06 PSP'!$L$15:$L$39,A7,'06 PSP'!$E$15:$E$39,"Sí")+SUMIFS('07 SGE'!$K$15:$K$35,'07 SGE'!$L$15:$L$35,A7,'07 SGE'!$E$15:$E$35,"Sí")+SUMIFS('08 Nube'!$K$15:$K$42,'08 Nube'!$L$15:$L$42,A7,'08 Nube'!$E$15:$E$42,"Sí")+SUMIFS('09 Digital'!$K$15:$K$27,'09 Digital'!$L$15:$L$27,A7,'09 Digital'!$E$15:$E$27,"Sí")+SUMIFS('10 Sostenib'!$K$15:$K$24,'10 Sostenib'!$L$15:$L$24,A7,'10 Sostenib'!$E$15:$E$24,"Sí")+SUMIFS('11 IPE II'!$K$15:$K$28,'11 IPE II'!$L$15:$L$28,A7,'11 IPE II'!$E$15:$E$28,"Sí"))</x:f>
      </x:c>
      <x:c r="C7" s="244" t="str">
        <x:f>IF(OR(A7="",'16 Contrato firma'!$E$11&lt;&gt;"OK"),"",SUMIFS('01 PI II'!$P$15:$P$48,'01 PI II'!$L$15:$L$48,A7)+SUMIFS('02 AD'!$P$15:$P$67,'02 AD'!$L$15:$L$67,A7)+SUMIFS('03 PMDM'!$P$15:$P$49,'03 PMDM'!$L$15:$L$49,A7)+SUMIFS('05 DI'!$P$15:$P$45,'05 DI'!$L$15:$L$45,A7)+SUMIFS('06 PSP'!$P$15:$P$39,'06 PSP'!$L$15:$L$39,A7)+SUMIFS('07 SGE'!$P$15:$P$35,'07 SGE'!$L$15:$L$35,A7)+SUMIFS('08 Nube'!$P$15:$P$42,'08 Nube'!$L$15:$L$42,A7)+SUMIFS('09 Digital'!$P$15:$P$27,'09 Digital'!$L$15:$L$27,A7)+SUMIFS('10 Sostenib'!$P$15:$P$24,'10 Sostenib'!$L$15:$L$24,A7)+SUMIFS('11 IPE II'!$P$15:$P$28,'11 IPE II'!$L$15:$L$28,A7))</x:f>
      </x:c>
      <x:c r="D7" s="244" t="str">
        <x:f>IF(OR(A7="",'16 Contrato firma'!$E$11&lt;&gt;"OK"),"",'00 Contrato'!$D$23/'16 Contrato firma'!$B$11)</x:f>
      </x:c>
      <x:c r="E7" s="244" t="str">
        <x:f>IF(OR(A7="",'16 Contrato firma'!$E$11&lt;&gt;"OK"),"",'00 Contrato'!$E$23/'16 Contrato firma'!$B$11)</x:f>
      </x:c>
      <x:c r="F7" s="244" t="str">
        <x:f>IF(OR(A7="",'16 Contrato firma'!$E$11&lt;&gt;"OK"),"",IF(SUM($B$5:$B$8)&lt;&gt;'00 Contrato'!$D$23,"PENDIENTE_REPARTO",0.4*D7+0.6*B7))</x:f>
      </x:c>
      <x:c r="G7" s="244" t="str">
        <x:f>IF(OR(A7="",'16 Contrato firma'!$E$11&lt;&gt;"OK"),"",IF(SUM($C$5:$C$8)&lt;&gt;'00 Contrato'!$E$23,"PENDIENTE_REPARTO",0.4*E7+0.6*C7))</x:f>
      </x:c>
      <x:c r="H7" s="82" t="str">
        <x:f>IF(OR(A7="",'16 Contrato firma'!$E$11&lt;&gt;"OK"),"",IF(ISNUMBER(F7),IF(F7&lt;50,"&lt;5",IF(F7&lt;60,5,IF(F7&lt;70,6,IF(F7&lt;80,7,IF(F7&lt;90,8,IF(F7&lt;100,9,10)))))),"PENDIENTE_REPARTO"))</x:f>
      </x:c>
      <x:c r="I7" s="82" t="str">
        <x:f>IF(OR(A7="",'16 Contrato firma'!$E$11&lt;&gt;"OK"),"",IF(ISNUMBER(G7),IF(G7&lt;50,"&lt;5",IF(G7&lt;60,5,IF(G7&lt;70,6,IF(G7&lt;80,7,IF(G7&lt;90,8,IF(G7&lt;100,9,10)))))),"PENDIENTE_REPARTO"))</x:f>
      </x:c>
    </x:row>
    <x:row r="8" ht="42" customHeight="1">
      <x:c r="A8" s="16" t="str">
        <x:f>IF('16 Contrato firma'!B10="","",'16 Contrato firma'!B10)</x:f>
      </x:c>
      <x:c r="B8" s="245" t="str">
        <x:f>IF(OR(A8="",'16 Contrato firma'!$E$11&lt;&gt;"OK"),"",SUMIFS('01 PI II'!$K$15:$K$48,'01 PI II'!$L$15:$L$48,A8,'01 PI II'!$E$15:$E$48,"Sí")+SUMIFS('02 AD'!$K$15:$K$67,'02 AD'!$L$15:$L$67,A8,'02 AD'!$E$15:$E$67,"Sí")+SUMIFS('03 PMDM'!$K$15:$K$49,'03 PMDM'!$L$15:$L$49,A8,'03 PMDM'!$E$15:$E$49,"Sí")+SUMIFS('05 DI'!$K$15:$K$45,'05 DI'!$L$15:$L$45,A8,'05 DI'!$E$15:$E$45,"Sí")+SUMIFS('06 PSP'!$K$15:$K$39,'06 PSP'!$L$15:$L$39,A8,'06 PSP'!$E$15:$E$39,"Sí")+SUMIFS('07 SGE'!$K$15:$K$35,'07 SGE'!$L$15:$L$35,A8,'07 SGE'!$E$15:$E$35,"Sí")+SUMIFS('08 Nube'!$K$15:$K$42,'08 Nube'!$L$15:$L$42,A8,'08 Nube'!$E$15:$E$42,"Sí")+SUMIFS('09 Digital'!$K$15:$K$27,'09 Digital'!$L$15:$L$27,A8,'09 Digital'!$E$15:$E$27,"Sí")+SUMIFS('10 Sostenib'!$K$15:$K$24,'10 Sostenib'!$L$15:$L$24,A8,'10 Sostenib'!$E$15:$E$24,"Sí")+SUMIFS('11 IPE II'!$K$15:$K$28,'11 IPE II'!$L$15:$L$28,A8,'11 IPE II'!$E$15:$E$28,"Sí"))</x:f>
      </x:c>
      <x:c r="C8" s="245" t="str">
        <x:f>IF(OR(A8="",'16 Contrato firma'!$E$11&lt;&gt;"OK"),"",SUMIFS('01 PI II'!$P$15:$P$48,'01 PI II'!$L$15:$L$48,A8)+SUMIFS('02 AD'!$P$15:$P$67,'02 AD'!$L$15:$L$67,A8)+SUMIFS('03 PMDM'!$P$15:$P$49,'03 PMDM'!$L$15:$L$49,A8)+SUMIFS('05 DI'!$P$15:$P$45,'05 DI'!$L$15:$L$45,A8)+SUMIFS('06 PSP'!$P$15:$P$39,'06 PSP'!$L$15:$L$39,A8)+SUMIFS('07 SGE'!$P$15:$P$35,'07 SGE'!$L$15:$L$35,A8)+SUMIFS('08 Nube'!$P$15:$P$42,'08 Nube'!$L$15:$L$42,A8)+SUMIFS('09 Digital'!$P$15:$P$27,'09 Digital'!$L$15:$L$27,A8)+SUMIFS('10 Sostenib'!$P$15:$P$24,'10 Sostenib'!$L$15:$L$24,A8)+SUMIFS('11 IPE II'!$P$15:$P$28,'11 IPE II'!$L$15:$L$28,A8))</x:f>
      </x:c>
      <x:c r="D8" s="245" t="str">
        <x:f>IF(OR(A8="",'16 Contrato firma'!$E$11&lt;&gt;"OK"),"",'00 Contrato'!$D$23/'16 Contrato firma'!$B$11)</x:f>
      </x:c>
      <x:c r="E8" s="245" t="str">
        <x:f>IF(OR(A8="",'16 Contrato firma'!$E$11&lt;&gt;"OK"),"",'00 Contrato'!$E$23/'16 Contrato firma'!$B$11)</x:f>
      </x:c>
      <x:c r="F8" s="245" t="str">
        <x:f>IF(OR(A8="",'16 Contrato firma'!$E$11&lt;&gt;"OK"),"",IF(SUM($B$5:$B$8)&lt;&gt;'00 Contrato'!$D$23,"PENDIENTE_REPARTO",0.4*D8+0.6*B8))</x:f>
      </x:c>
      <x:c r="G8" s="245" t="str">
        <x:f>IF(OR(A8="",'16 Contrato firma'!$E$11&lt;&gt;"OK"),"",IF(SUM($C$5:$C$8)&lt;&gt;'00 Contrato'!$E$23,"PENDIENTE_REPARTO",0.4*E8+0.6*C8))</x:f>
      </x:c>
      <x:c r="H8" s="16" t="str">
        <x:f>IF(OR(A8="",'16 Contrato firma'!$E$11&lt;&gt;"OK"),"",IF(ISNUMBER(F8),IF(F8&lt;50,"&lt;5",IF(F8&lt;60,5,IF(F8&lt;70,6,IF(F8&lt;80,7,IF(F8&lt;90,8,IF(F8&lt;100,9,10)))))),"PENDIENTE_REPARTO"))</x:f>
      </x:c>
      <x:c r="I8" s="16" t="str">
        <x:f>IF(OR(A8="",'16 Contrato firma'!$E$11&lt;&gt;"OK"),"",IF(ISNUMBER(G8),IF(G8&lt;50,"&lt;5",IF(G8&lt;60,5,IF(G8&lt;70,6,IF(G8&lt;80,7,IF(G8&lt;90,8,IF(G8&lt;100,9,10)))))),"PENDIENTE_REPARTO"))</x:f>
      </x:c>
    </x:row>
    <x:row r="9" ht="36" customHeight="1">
      <x:c r="A9" s="177" t="str">
        <x:v>AT efectivos = 0,4 × (AT del equipo / nº real de integrantes) + 0,6 × AT atribuidos a la persona. Escala individual: 50/60/70/80/90/100 → 5/6/7/8/9/10.</x:v>
      </x:c>
      <x:c r="B9" s="177"/>
      <x:c r="C9" s="177"/>
      <x:c r="D9" s="177"/>
      <x:c r="E9" s="177"/>
      <x:c r="F9" s="177"/>
      <x:c r="G9" s="177"/>
      <x:c r="H9" s="177"/>
      <x:c r="I9" s="177"/>
    </x:row>
    <x:row r="10" ht="36" customHeight="1">
      <x:c r="A10" s="237" t="str">
        <x:v>Control de integrantes</x:v>
      </x:c>
      <x:c r="B10" s="237"/>
      <x:c r="C10" s="237"/>
      <x:c r="D10" s="237"/>
      <x:c r="E10" s="237" t="str">
        <x:f>'16 Contrato firma'!E11</x:f>
        <x:v>PENDIENTE_INTEGRANTES</x:v>
      </x:c>
      <x:c r="F10" s="237"/>
      <x:c r="G10" s="237"/>
      <x:c r="H10" s="237"/>
      <x:c r="I10" s="237"/>
    </x:row>
    <x:row r="11" ht="36" customHeight="1">
      <x:c r="A11" s="237" t="str">
        <x:v>Control de responsables</x:v>
      </x:c>
      <x:c r="B11" s="237"/>
      <x:c r="C11" s="237"/>
      <x:c r="D11" s="237"/>
      <x:c r="E11" s="237" t="str">
        <x:f>'16 Contrato firma'!E12</x:f>
        <x:v>PENDIENTE_EQUIPO</x:v>
      </x:c>
      <x:c r="F11" s="237"/>
      <x:c r="G11" s="237"/>
      <x:c r="H11" s="237"/>
      <x:c r="I11" s="237"/>
    </x:row>
    <x:row r="12" ht="54" customHeight="1">
      <x:c r="A12" s="16" t="str">
        <x:v>Una persona responsable por tarea. Si la atribución es compartida, adjunta un anexo acordado.
Esta hoja no calcula ese anexo. No dupliques tareas ni AT.
El techo no equivale a la nota ni acredita puertas, calidad o autoría.</x:v>
      </x:c>
      <x:c r="B12" s="16"/>
      <x:c r="C12" s="16"/>
      <x:c r="D12" s="16"/>
      <x:c r="E12" s="16"/>
      <x:c r="F12" s="16"/>
      <x:c r="G12" s="16"/>
      <x:c r="H12" s="16"/>
      <x:c r="I12" s="16"/>
    </x:row>
  </x:sheetData>
  <x:mergeCells>
    <x:mergeCell ref="A1:I1"/>
    <x:mergeCell ref="A2:I2"/>
    <x:mergeCell ref="A9:I9"/>
    <x:mergeCell ref="A10:D10"/>
    <x:mergeCell ref="E10:I10"/>
    <x:mergeCell ref="A11:D11"/>
    <x:mergeCell ref="E11:I11"/>
    <x:mergeCell ref="A12:I12"/>
  </x:mergeCells>
  <x:pageMargins left="0.7" right="0.7" top="0.75" bottom="0.75" header="0.3" footer="0.3"/>
</x:worksheet>
</file>

<file path=xl/worksheets/sheet15.xml><?xml version="1.0" encoding="utf-8"?>
<x:worksheet xmlns:x="http://schemas.openxmlformats.org/spreadsheetml/2006/main">
  <x:sheetFormatPr defaultRowHeight="15"/>
  <x:cols>
    <x:col min="1" max="1" width="22" hidden="0" customWidth="1"/>
    <x:col min="2" max="2" width="34" hidden="0" customWidth="1"/>
    <x:col min="3" max="3" width="44" hidden="0" customWidth="1"/>
    <x:col min="4" max="4" width="15" hidden="0" customWidth="1"/>
    <x:col min="5" max="5" width="30" hidden="0" customWidth="1"/>
    <x:col min="6" max="6" width="28" hidden="0" customWidth="1"/>
    <x:col min="7" max="7" width="34" hidden="0" customWidth="1"/>
  </x:cols>
  <x:sheetData>
    <x:row r="1">
      <x:c r="A1" s="66" t="str">
        <x:v>ITINERARIOS DE AMPLIACIÓN · AulaFlow 2.0 · v1.0 · copia operativa</x:v>
      </x:c>
      <x:c r="B1" s="66"/>
      <x:c r="C1" s="66"/>
      <x:c r="D1" s="66"/>
      <x:c r="E1" s="66"/>
      <x:c r="F1" s="66"/>
      <x:c r="G1" s="66"/>
    </x:row>
    <x:row r="2">
      <x:c r="A2" s="84" t="str">
        <x:v>Los itinerarios son combinaciones recomendadas de tareas opcionales/avanzadas para construir un backlog coherente. No sustituyen la selección fila a fila ni convierten todas las tareas del itinerario en obligatorias.</x:v>
      </x:c>
      <x:c r="B2" s="84"/>
      <x:c r="C2" s="84"/>
      <x:c r="D2" s="84"/>
      <x:c r="E2" s="84"/>
      <x:c r="F2" s="84"/>
      <x:c r="G2" s="84"/>
    </x:row>
    <x:row r="4">
      <x:c r="A4" s="85" t="str">
        <x:v>Itinerario</x:v>
      </x:c>
      <x:c r="B4" s="85" t="str">
        <x:v>Objetivo</x:v>
      </x:c>
      <x:c r="C4" s="85" t="str">
        <x:v>Tareas/prefijos sugeridos</x:v>
      </x:c>
      <x:c r="D4" s="85" t="str">
        <x:v>AT oferta aprox.</x:v>
      </x:c>
      <x:c r="E4" s="85" t="str">
        <x:v>Dependencias</x:v>
      </x:c>
      <x:c r="F4" s="85" t="str">
        <x:v>Adecuado para</x:v>
      </x:c>
      <x:c r="G4" s="85" t="str">
        <x:v>Resultado esperado</x:v>
      </x:c>
    </x:row>
    <x:row r="5">
      <x:c r="A5" s="82" t="str">
        <x:v>Móvil avanzado</x:v>
      </x:c>
      <x:c r="B5" s="82" t="str">
        <x:v>Elevar el cliente Flutter más allá del núcleo</x:v>
      </x:c>
      <x:c r="C5" s="82" t="str">
        <x:v>PMDM.UI.*, PMDM.OFF.*, PMDM.MEDIA.*, PMDM.ACC.*, PMDM.TEST.*, PMDM.OBS.*</x:v>
      </x:c>
      <x:c r="D5" s="82" t="n">
        <x:v>33</x:v>
      </x:c>
      <x:c r="E5" s="82" t="str">
        <x:v>PM4-PM6 + backend estable</x:v>
      </x:c>
      <x:c r="F5" s="82" t="str">
        <x:v>Equipos con fortaleza móvil</x:v>
      </x:c>
      <x:c r="G5" s="82" t="str">
        <x:v>UX adaptable, offline/medios y mayor calidad</x:v>
      </x:c>
    </x:row>
    <x:row r="6">
      <x:c r="A6" s="82" t="str">
        <x:v>Escritorio avanzado</x:v>
      </x:c>
      <x:c r="B6" s="82" t="str">
        <x:v>Administración, reporting y UX rica en MAUI</x:v>
      </x:c>
      <x:c r="C6" s="82" t="str">
        <x:v>DI.ADMIN.*, DI.DASH.*, DI.UX.*, DI.REL.*</x:v>
      </x:c>
      <x:c r="D6" s="82" t="n">
        <x:v>33</x:v>
      </x:c>
      <x:c r="E6" s="82" t="str">
        <x:v>DI núcleo + APIs relacionadas</x:v>
      </x:c>
      <x:c r="F6" s="82" t="str">
        <x:v>Equipos con foco escritorio</x:v>
      </x:c>
      <x:c r="G6" s="82" t="str">
        <x:v>Cliente de escritorio más completo y distribuible</x:v>
      </x:c>
    </x:row>
    <x:row r="7">
      <x:c r="A7" s="82" t="str">
        <x:v>Tiempo real y colaboración</x:v>
      </x:c>
      <x:c r="B7" s="82" t="str">
        <x:v>Añadir colaboración viva entre clientes</x:v>
      </x:c>
      <x:c r="C7" s="82" t="str">
        <x:v>PSP.RT.*, PSP.PRES.*, PSP.NOT.*</x:v>
      </x:c>
      <x:c r="D7" s="82" t="n">
        <x:v>34</x:v>
      </x:c>
      <x:c r="E7" s="82" t="str">
        <x:v>Kanban + auth + clientes</x:v>
      </x:c>
      <x:c r="F7" s="82" t="str">
        <x:v>Equipos que quieran realtime</x:v>
      </x:c>
      <x:c r="G7" s="82" t="str">
        <x:v>Cambios en vivo, presencia y notificaciones</x:v>
      </x:c>
    </x:row>
    <x:row r="8">
      <x:c r="A8" s="82" t="str">
        <x:v>Procesos fiables</x:v>
      </x:c>
      <x:c r="B8" s="82" t="str">
        <x:v>Jobs, recordatorios y entrega robusta de eventos</x:v>
      </x:c>
      <x:c r="C8" s="82" t="str">
        <x:v>PSP.JOB.*, PSP.EVT.*</x:v>
      </x:c>
      <x:c r="D8" s="82" t="n">
        <x:v>27</x:v>
      </x:c>
      <x:c r="E8" s="82" t="str">
        <x:v>Backend maduro + observabilidad básica</x:v>
      </x:c>
      <x:c r="F8" s="82" t="str">
        <x:v>Equipos con interés en backend distribuido</x:v>
      </x:c>
      <x:c r="G8" s="82" t="str">
        <x:v>Automatización y tolerancia a fallos</x:v>
      </x:c>
    </x:row>
    <x:row r="9">
      <x:c r="A9" s="82" t="str">
        <x:v>Integración empresarial</x:v>
      </x:c>
      <x:c r="B9" s="82" t="str">
        <x:v>Conectar AulaFlow con Odoo</x:v>
      </x:c>
      <x:c r="C9" s="82" t="str">
        <x:v>SGE.ODOO.*, SGE.PROJ.*, SGE.ORG.*, SGE.REP.*</x:v>
      </x:c>
      <x:c r="D9" s="82" t="n">
        <x:v>43</x:v>
      </x:c>
      <x:c r="E9" s="82" t="str">
        <x:v>Instancia Odoo + API estable</x:v>
      </x:c>
      <x:c r="F9" s="82" t="str">
        <x:v>Equipos que quieran integración ERP</x:v>
      </x:c>
      <x:c r="G9" s="82" t="str">
        <x:v>Flujo empresarial sincronizado y reportable</x:v>
      </x:c>
    </x:row>
    <x:row r="10">
      <x:c r="A10" s="82" t="str">
        <x:v>Cloud operable</x:v>
      </x:c>
      <x:c r="B10" s="82" t="str">
        <x:v>Publicar y operar AulaFlow en nube</x:v>
      </x:c>
      <x:c r="C10" s="82" t="str">
        <x:v>NUBE.NET.*, NUBE.REG.*, NUBE.DEP.*, NUBE.SEC.*, NUBE.OBS.*, NUBE.COST.*</x:v>
      </x:c>
      <x:c r="D10" s="82" t="n">
        <x:v>43</x:v>
      </x:c>
      <x:c r="E10" s="82" t="str">
        <x:v>Cuenta/proveedor + backend contenerizado</x:v>
      </x:c>
      <x:c r="F10" s="82" t="str">
        <x:v>Equipos que quieran despliegue profesional</x:v>
      </x:c>
      <x:c r="G10" s="82" t="str">
        <x:v>Servicio HTTPS, observable y con control de costes</x:v>
      </x:c>
    </x:row>
    <x:row r="11">
      <x:c r="A11" s="82" t="str">
        <x:v>Datos e IA</x:v>
      </x:c>
      <x:c r="B11" s="82" t="str">
        <x:v>Convertir uso del sistema en indicadores y una función IA verificable</x:v>
      </x:c>
      <x:c r="C11" s="82" t="str">
        <x:v>DIG.KPI.*, DIG.AI.*</x:v>
      </x:c>
      <x:c r="D11" s="82" t="n">
        <x:v>25</x:v>
      </x:c>
      <x:c r="E11" s="82" t="str">
        <x:v>Datos reproducibles + política de privacidad</x:v>
      </x:c>
      <x:c r="F11" s="82" t="str">
        <x:v>Equipos con interés en analítica/IA</x:v>
      </x:c>
      <x:c r="G11" s="82" t="str">
        <x:v>Dashboard de indicadores y/o feature IA con human-in-the-loop</x:v>
      </x:c>
    </x:row>
    <x:row r="12">
      <x:c r="A12" s="82" t="str">
        <x:v>Sostenibilidad y viabilidad</x:v>
      </x:c>
      <x:c r="B12" s="82" t="str">
        <x:v>Medir decisiones técnicas y justificar el producto como negocio</x:v>
      </x:c>
      <x:c r="C12" s="82" t="str">
        <x:v>SUS.* + IPE.*</x:v>
      </x:c>
      <x:c r="D12" s="82" t="n">
        <x:v>44</x:v>
      </x:c>
      <x:c r="E12" s="82" t="str">
        <x:v>Producto suficientemente estable</x:v>
      </x:c>
      <x:c r="F12" s="82" t="str">
        <x:v>Equipos que quieran cerrar producto/negocio</x:v>
      </x:c>
      <x:c r="G12" s="82" t="str">
        <x:v>Evidencia medible + TCO + propuesta de valor/pitch</x:v>
      </x:c>
    </x:row>
  </x:sheetData>
  <x:mergeCells>
    <x:mergeCell ref="A1:G1"/>
    <x:mergeCell ref="A2:G2"/>
  </x:mergeCells>
  <x:pageMargins left="0.7" right="0.7" top="0.75" bottom="0.75" header="0.3" footer="0.3"/>
</x:worksheet>
</file>

<file path=xl/worksheets/sheet16.xml><?xml version="1.0" encoding="utf-8"?>
<x:worksheet xmlns:x="http://schemas.openxmlformats.org/spreadsheetml/2006/main">
  <x:sheetFormatPr defaultRowHeight="15"/>
  <x:cols>
    <x:col min="1" max="1" width="26" hidden="0" customWidth="1"/>
    <x:col min="2" max="2" width="15" hidden="0" customWidth="1"/>
    <x:col min="3" max="3" width="15" hidden="0" customWidth="1"/>
    <x:col min="4" max="4" width="15" hidden="0" customWidth="1"/>
    <x:col min="5" max="5" width="15" hidden="0" customWidth="1"/>
    <x:col min="6" max="6" width="18" hidden="0" customWidth="1"/>
    <x:col min="7" max="7" width="15" hidden="0" customWidth="1"/>
    <x:col min="8" max="8" width="26" hidden="0" customWidth="1"/>
  </x:cols>
  <x:sheetData>
    <x:row r="1">
      <x:c r="A1" s="215" t="str">
        <x:v>AUDITORÍA CUANTITATIVA Y FUNCIONAL · PRESUPUESTO AULAFLOW 2.0 · v0.4</x:v>
      </x:c>
      <x:c r="B1" s="215"/>
      <x:c r="C1" s="215"/>
      <x:c r="D1" s="215"/>
      <x:c r="E1" s="215"/>
      <x:c r="F1" s="215"/>
      <x:c r="G1" s="215"/>
      <x:c r="H1" s="215"/>
    </x:row>
    <x:row r="2">
      <x:c r="A2" s="218" t="str">
        <x:v>Base: 264 tareas del presupuesto v0.3 + referencia ABP 2016/17. Dictamen v0.4: estructura válida; no se requiere recalibración masiva de AT, pero se introducen salvaguardas contra doble conteo y se formaliza el vertical mínimo.</x:v>
      </x:c>
      <x:c r="B2" s="218"/>
      <x:c r="C2" s="218"/>
      <x:c r="D2" s="218"/>
      <x:c r="E2" s="218"/>
      <x:c r="F2" s="218"/>
      <x:c r="G2" s="218"/>
      <x:c r="H2" s="218"/>
    </x:row>
    <x:row r="4">
      <x:c r="A4" s="219" t="str">
        <x:v>KPI</x:v>
      </x:c>
      <x:c r="B4" s="219" t="str">
        <x:v>Valor</x:v>
      </x:c>
    </x:row>
    <x:row r="5">
      <x:c r="A5" t="str">
        <x:v>Tareas totales</x:v>
      </x:c>
      <x:c r="B5" t="n">
        <x:v>264</x:v>
      </x:c>
    </x:row>
    <x:row r="6">
      <x:c r="A6" t="str">
        <x:v>AT ofertados</x:v>
      </x:c>
      <x:c r="B6" t="n">
        <x:v>572</x:v>
      </x:c>
    </x:row>
    <x:row r="7">
      <x:c r="A7" t="str">
        <x:v>Horas recomendadas equipo</x:v>
      </x:c>
      <x:c r="B7" t="n">
        <x:v>1001</x:v>
      </x:c>
    </x:row>
    <x:row r="8">
      <x:c r="A8" t="str">
        <x:v>Tareas obligatorias</x:v>
      </x:c>
      <x:c r="B8" t="n">
        <x:v>96</x:v>
      </x:c>
    </x:row>
    <x:row r="9">
      <x:c r="A9" t="str">
        <x:v>AT obligatorios</x:v>
      </x:c>
      <x:c r="B9" t="n">
        <x:v>150</x:v>
      </x:c>
    </x:row>
    <x:row r="10">
      <x:c r="A10" t="str">
        <x:v>Horas obligatorias equipo</x:v>
      </x:c>
      <x:c r="B10" t="n">
        <x:v>320</x:v>
      </x:c>
    </x:row>
    <x:row r="11">
      <x:c r="A11" t="str">
        <x:v>Horas/AT global</x:v>
      </x:c>
      <x:c r="B11" t="n">
        <x:v>1.75</x:v>
      </x:c>
    </x:row>
    <x:row r="12">
      <x:c r="A12" t="str">
        <x:v>Horas/AT núcleo</x:v>
      </x:c>
      <x:c r="B12" t="n">
        <x:v>2.13</x:v>
      </x:c>
    </x:row>
    <x:row r="13">
      <x:c r="A13" t="str">
        <x:v>Correlación horas↔AT</x:v>
      </x:c>
      <x:c r="B13" t="n">
        <x:v>0.862</x:v>
      </x:c>
    </x:row>
    <x:row r="15">
      <x:c r="A15" s="221" t="str">
        <x:v>Ámbito</x:v>
      </x:c>
      <x:c r="B15" s="221" t="str">
        <x:v>Tareas</x:v>
      </x:c>
      <x:c r="C15" s="221" t="str">
        <x:v>Tareas OBL</x:v>
      </x:c>
      <x:c r="D15" s="221" t="str">
        <x:v>AT OBL</x:v>
      </x:c>
      <x:c r="E15" s="221" t="str">
        <x:v>AT oferta</x:v>
      </x:c>
      <x:c r="F15" s="221" t="str">
        <x:v>Horas oferta</x:v>
      </x:c>
      <x:c r="G15" s="221" t="str">
        <x:v>Horas/AT</x:v>
      </x:c>
    </x:row>
    <x:row r="16">
      <x:c r="A16" t="str">
        <x:v>PI II</x:v>
      </x:c>
      <x:c r="B16" t="n">
        <x:v>34</x:v>
      </x:c>
      <x:c r="C16" t="n">
        <x:v>24</x:v>
      </x:c>
      <x:c r="D16" t="n">
        <x:v>25</x:v>
      </x:c>
      <x:c r="E16" t="n">
        <x:v>52</x:v>
      </x:c>
      <x:c r="F16" t="n">
        <x:v>97</x:v>
      </x:c>
      <x:c r="G16" t="n">
        <x:v>1.87</x:v>
      </x:c>
    </x:row>
    <x:row r="17">
      <x:c r="A17" t="str">
        <x:v>AD</x:v>
      </x:c>
      <x:c r="B17" t="n">
        <x:v>53</x:v>
      </x:c>
      <x:c r="C17" t="n">
        <x:v>34</x:v>
      </x:c>
      <x:c r="D17" t="n">
        <x:v>70</x:v>
      </x:c>
      <x:c r="E17" t="n">
        <x:v>142</x:v>
      </x:c>
      <x:c r="F17" t="n">
        <x:v>224</x:v>
      </x:c>
      <x:c r="G17" t="n">
        <x:v>1.58</x:v>
      </x:c>
    </x:row>
    <x:row r="18">
      <x:c r="A18" t="str">
        <x:v>PMDM</x:v>
      </x:c>
      <x:c r="B18" t="n">
        <x:v>35</x:v>
      </x:c>
      <x:c r="C18" t="n">
        <x:v>21</x:v>
      </x:c>
      <x:c r="D18" t="n">
        <x:v>25</x:v>
      </x:c>
      <x:c r="E18" t="n">
        <x:v>73</x:v>
      </x:c>
      <x:c r="F18" t="n">
        <x:v>143</x:v>
      </x:c>
      <x:c r="G18" t="n">
        <x:v>1.96</x:v>
      </x:c>
    </x:row>
    <x:row r="19">
      <x:c r="A19" t="str">
        <x:v>DI</x:v>
      </x:c>
      <x:c r="B19" t="n">
        <x:v>31</x:v>
      </x:c>
      <x:c r="C19" t="n">
        <x:v>17</x:v>
      </x:c>
      <x:c r="D19" t="n">
        <x:v>30</x:v>
      </x:c>
      <x:c r="E19" t="n">
        <x:v>64</x:v>
      </x:c>
      <x:c r="F19" t="n">
        <x:v>126</x:v>
      </x:c>
      <x:c r="G19" t="n">
        <x:v>1.97</x:v>
      </x:c>
    </x:row>
    <x:row r="20">
      <x:c r="A20" t="str">
        <x:v>PSP</x:v>
      </x:c>
      <x:c r="B20" t="n">
        <x:v>25</x:v>
      </x:c>
      <x:c r="C20" t="n">
        <x:v>0</x:v>
      </x:c>
      <x:c r="D20" t="n">
        <x:v>0</x:v>
      </x:c>
      <x:c r="E20" t="n">
        <x:v>61</x:v>
      </x:c>
      <x:c r="F20" t="n">
        <x:v>105</x:v>
      </x:c>
      <x:c r="G20" t="n">
        <x:v>1.72</x:v>
      </x:c>
    </x:row>
    <x:row r="21">
      <x:c r="A21" t="str">
        <x:v>SGE</x:v>
      </x:c>
      <x:c r="B21" t="n">
        <x:v>21</x:v>
      </x:c>
      <x:c r="C21" t="n">
        <x:v>0</x:v>
      </x:c>
      <x:c r="D21" t="n">
        <x:v>0</x:v>
      </x:c>
      <x:c r="E21" t="n">
        <x:v>49</x:v>
      </x:c>
      <x:c r="F21" t="n">
        <x:v>88</x:v>
      </x:c>
      <x:c r="G21" t="n">
        <x:v>1.8</x:v>
      </x:c>
    </x:row>
    <x:row r="22">
      <x:c r="A22" t="str">
        <x:v>Nube</x:v>
      </x:c>
      <x:c r="B22" t="n">
        <x:v>28</x:v>
      </x:c>
      <x:c r="C22" t="n">
        <x:v>0</x:v>
      </x:c>
      <x:c r="D22" t="n">
        <x:v>0</x:v>
      </x:c>
      <x:c r="E22" t="n">
        <x:v>62</x:v>
      </x:c>
      <x:c r="F22" t="n">
        <x:v>101</x:v>
      </x:c>
      <x:c r="G22" t="n">
        <x:v>1.63</x:v>
      </x:c>
    </x:row>
    <x:row r="23">
      <x:c r="A23" t="str">
        <x:v>Digital</x:v>
      </x:c>
      <x:c r="B23" t="n">
        <x:v>13</x:v>
      </x:c>
      <x:c r="C23" t="n">
        <x:v>0</x:v>
      </x:c>
      <x:c r="D23" t="n">
        <x:v>0</x:v>
      </x:c>
      <x:c r="E23" t="n">
        <x:v>25</x:v>
      </x:c>
      <x:c r="F23" t="n">
        <x:v>44</x:v>
      </x:c>
      <x:c r="G23" t="n">
        <x:v>1.76</x:v>
      </x:c>
    </x:row>
    <x:row r="24">
      <x:c r="A24" t="str">
        <x:v>Sostenib</x:v>
      </x:c>
      <x:c r="B24" t="n">
        <x:v>10</x:v>
      </x:c>
      <x:c r="C24" t="n">
        <x:v>0</x:v>
      </x:c>
      <x:c r="D24" t="n">
        <x:v>0</x:v>
      </x:c>
      <x:c r="E24" t="n">
        <x:v>16</x:v>
      </x:c>
      <x:c r="F24" t="n">
        <x:v>29</x:v>
      </x:c>
      <x:c r="G24" t="n">
        <x:v>1.81</x:v>
      </x:c>
    </x:row>
    <x:row r="25">
      <x:c r="A25" t="str">
        <x:v>IPE II</x:v>
      </x:c>
      <x:c r="B25" t="n">
        <x:v>14</x:v>
      </x:c>
      <x:c r="C25" t="n">
        <x:v>0</x:v>
      </x:c>
      <x:c r="D25" t="n">
        <x:v>0</x:v>
      </x:c>
      <x:c r="E25" t="n">
        <x:v>28</x:v>
      </x:c>
      <x:c r="F25" t="n">
        <x:v>44</x:v>
      </x:c>
      <x:c r="G25" t="n">
        <x:v>1.57</x:v>
      </x:c>
    </x:row>
    <x:row r="28">
      <x:c r="A28" s="221" t="str">
        <x:v>Hito</x:v>
      </x:c>
      <x:c r="B28" s="221" t="str">
        <x:v>Tareas OBL</x:v>
      </x:c>
      <x:c r="C28" s="221" t="str">
        <x:v>AT del hito</x:v>
      </x:c>
      <x:c r="D28" s="221" t="str">
        <x:v>AT acumulados</x:v>
      </x:c>
      <x:c r="E28" s="221" t="str">
        <x:v>Horas del hito</x:v>
      </x:c>
      <x:c r="F28" s="221" t="str">
        <x:v>Horas acumuladas</x:v>
      </x:c>
    </x:row>
    <x:row r="29">
      <x:c r="A29" t="str">
        <x:v>H0</x:v>
      </x:c>
      <x:c r="B29" t="n">
        <x:v>5</x:v>
      </x:c>
      <x:c r="C29" t="n">
        <x:v>5</x:v>
      </x:c>
      <x:c r="D29" t="n">
        <x:v>5</x:v>
      </x:c>
      <x:c r="E29" t="n">
        <x:v>12</x:v>
      </x:c>
      <x:c r="F29" t="n">
        <x:v>12</x:v>
      </x:c>
    </x:row>
    <x:row r="30">
      <x:c r="A30" t="str">
        <x:v>H1</x:v>
      </x:c>
      <x:c r="B30" t="n">
        <x:v>13</x:v>
      </x:c>
      <x:c r="C30" t="n">
        <x:v>16</x:v>
      </x:c>
      <x:c r="D30" t="n">
        <x:v>21</x:v>
      </x:c>
      <x:c r="E30" t="n">
        <x:v>32</x:v>
      </x:c>
      <x:c r="F30" t="n">
        <x:v>44</x:v>
      </x:c>
    </x:row>
    <x:row r="31">
      <x:c r="A31" t="str">
        <x:v>H2</x:v>
      </x:c>
      <x:c r="B31" t="n">
        <x:v>30</x:v>
      </x:c>
      <x:c r="C31" t="n">
        <x:v>49</x:v>
      </x:c>
      <x:c r="D31" t="n">
        <x:v>70</x:v>
      </x:c>
      <x:c r="E31" t="n">
        <x:v>102</x:v>
      </x:c>
      <x:c r="F31" t="n">
        <x:v>146</x:v>
      </x:c>
    </x:row>
    <x:row r="32">
      <x:c r="A32" t="str">
        <x:v>H3</x:v>
      </x:c>
      <x:c r="B32" t="n">
        <x:v>38</x:v>
      </x:c>
      <x:c r="C32" t="n">
        <x:v>70</x:v>
      </x:c>
      <x:c r="D32" t="n">
        <x:v>140</x:v>
      </x:c>
      <x:c r="E32" t="n">
        <x:v>146</x:v>
      </x:c>
      <x:c r="F32" t="n">
        <x:v>292</x:v>
      </x:c>
    </x:row>
    <x:row r="33">
      <x:c r="A33" t="str">
        <x:v>H4</x:v>
      </x:c>
      <x:c r="B33" t="n">
        <x:v>7</x:v>
      </x:c>
      <x:c r="C33" t="n">
        <x:v>7</x:v>
      </x:c>
      <x:c r="D33" t="n">
        <x:v>147</x:v>
      </x:c>
      <x:c r="E33" t="n">
        <x:v>20</x:v>
      </x:c>
      <x:c r="F33" t="n">
        <x:v>312</x:v>
      </x:c>
    </x:row>
    <x:row r="34">
      <x:c r="A34" t="str">
        <x:v>H5</x:v>
      </x:c>
      <x:c r="B34" t="n">
        <x:v>3</x:v>
      </x:c>
      <x:c r="C34" t="n">
        <x:v>3</x:v>
      </x:c>
      <x:c r="D34" t="n">
        <x:v>150</x:v>
      </x:c>
      <x:c r="E34" t="n">
        <x:v>8</x:v>
      </x:c>
      <x:c r="F34" t="n">
        <x:v>320</x:v>
      </x:c>
    </x:row>
    <x:row r="37">
      <x:c r="A37" s="221" t="str">
        <x:v>Tamaño equipo</x:v>
      </x:c>
      <x:c r="B37" s="221" t="str">
        <x:v>Techo 5</x:v>
      </x:c>
      <x:c r="C37" s="221" t="str">
        <x:v>Techo 6</x:v>
      </x:c>
      <x:c r="D37" s="221" t="str">
        <x:v>Techo 7</x:v>
      </x:c>
      <x:c r="E37" s="221" t="str">
        <x:v>Techo 8</x:v>
      </x:c>
      <x:c r="F37" s="221" t="str">
        <x:v>Techo 9</x:v>
      </x:c>
      <x:c r="G37" s="221" t="str">
        <x:v>Techo 10</x:v>
      </x:c>
      <x:c r="H37" s="221" t="str">
        <x:v>Núcleo 150 implica</x:v>
      </x:c>
    </x:row>
    <x:row r="38">
      <x:c r="A38" t="n">
        <x:v>2</x:v>
      </x:c>
      <x:c r="B38" t="n">
        <x:v>100</x:v>
      </x:c>
      <x:c r="C38" t="n">
        <x:v>120</x:v>
      </x:c>
      <x:c r="D38" t="n">
        <x:v>140</x:v>
      </x:c>
      <x:c r="E38" t="n">
        <x:v>160</x:v>
      </x:c>
      <x:c r="F38" t="n">
        <x:v>180</x:v>
      </x:c>
      <x:c r="G38" t="n">
        <x:v>200</x:v>
      </x:c>
      <x:c r="H38" t="str">
        <x:v>7</x:v>
      </x:c>
    </x:row>
    <x:row r="39">
      <x:c r="A39" t="n">
        <x:v>3</x:v>
      </x:c>
      <x:c r="B39" t="n">
        <x:v>150</x:v>
      </x:c>
      <x:c r="C39" t="n">
        <x:v>180</x:v>
      </x:c>
      <x:c r="D39" t="n">
        <x:v>210</x:v>
      </x:c>
      <x:c r="E39" t="n">
        <x:v>240</x:v>
      </x:c>
      <x:c r="F39" t="n">
        <x:v>270</x:v>
      </x:c>
      <x:c r="G39" t="n">
        <x:v>300</x:v>
      </x:c>
      <x:c r="H39" t="str">
        <x:v>5</x:v>
      </x:c>
    </x:row>
    <x:row r="40">
      <x:c r="A40" t="n">
        <x:v>4</x:v>
      </x:c>
      <x:c r="B40" t="n">
        <x:v>200</x:v>
      </x:c>
      <x:c r="C40" t="n">
        <x:v>240</x:v>
      </x:c>
      <x:c r="D40" t="n">
        <x:v>280</x:v>
      </x:c>
      <x:c r="E40" t="n">
        <x:v>320</x:v>
      </x:c>
      <x:c r="F40" t="n">
        <x:v>360</x:v>
      </x:c>
      <x:c r="G40" t="n">
        <x:v>400</x:v>
      </x:c>
      <x:c r="H40" t="str">
        <x:v>insuficiente (&lt;5)</x:v>
      </x:c>
    </x:row>
    <x:row r="43">
      <x:c r="A43" s="219" t="str">
        <x:v>DICTAMEN Y SALVAGUARDAS</x:v>
      </x:c>
      <x:c r="B43" s="219"/>
      <x:c r="C43" s="219"/>
      <x:c r="D43" s="219"/>
      <x:c r="E43" s="219"/>
      <x:c r="F43" s="219"/>
      <x:c r="G43" s="219"/>
      <x:c r="H43" s="219"/>
    </x:row>
    <x:row r="44" ht="36" customHeight="1">
      <x:c r="A44" s="16" t="str">
        <x:v>1. La relación horas↔AT es fuerte (r≈0,862). Los pesos siguen razonablemente el esfuerzo, pero AT no equivale a horas: también incorpora complejidad, riesgo e integración.</x:v>
      </x:c>
      <x:c r="B44" s="16"/>
      <x:c r="C44" s="16"/>
      <x:c r="D44" s="16"/>
      <x:c r="E44" s="16"/>
      <x:c r="F44" s="16"/>
      <x:c r="G44" s="16"/>
      <x:c r="H44" s="16"/>
    </x:row>
    <x:row r="45" ht="36" customHeight="1">
      <x:c r="A45" s="16" t="str">
        <x:v>2. No se modifica el total obligatorio de 150 AT. El núcleo suma 320 horas-persona de equipo (~107 h/persona en equipo de 3), asumibles solo porque las evidencias se reutilizan entre módulos y PI II.</x:v>
      </x:c>
      <x:c r="B45" s="16"/>
      <x:c r="C45" s="16"/>
      <x:c r="D45" s="16"/>
      <x:c r="E45" s="16"/>
      <x:c r="F45" s="16"/>
      <x:c r="G45" s="16"/>
      <x:c r="H45" s="16"/>
    </x:row>
    <x:row r="46" ht="36" customHeight="1">
      <x:c r="A46" s="16" t="str">
        <x:v>3. H0-H3 acumulan 140 AT y constituyen el vertical funcional: legado auditado + backend v2 + auth/espacios/roles + Kanban + Flutter + MAUI + migración. H4 aporta calidad y H5 cierre/defensa.</x:v>
      </x:c>
      <x:c r="B46" s="16"/>
      <x:c r="C46" s="16"/>
      <x:c r="D46" s="16"/>
      <x:c r="E46" s="16"/>
      <x:c r="F46" s="16"/>
      <x:c r="G46" s="16"/>
      <x:c r="H46" s="16"/>
    </x:row>
    <x:row r="47" ht="36" customHeight="1">
      <x:c r="A47" s="16" t="str">
        <x:v>4. Se prohíbe validar dos tareas con la misma evidencia cuando ambas pretendan medir el mismo trabajo. Sí se permite reutilizar una evidencia técnica para demostrar un proceso distinto de PI II (p. ej. issue→PR o ADR).</x:v>
      </x:c>
      <x:c r="B47" s="16"/>
      <x:c r="C47" s="16"/>
      <x:c r="D47" s="16"/>
      <x:c r="E47" s="16"/>
      <x:c r="F47" s="16"/>
      <x:c r="G47" s="16"/>
      <x:c r="H47" s="16"/>
    </x:row>
    <x:row r="48" ht="36" customHeight="1">
      <x:c r="A48" s="16" t="str">
        <x:v>5. Las implementaciones equivalentes en Flutter y MAUI son tareas distintas porque producen clientes distintos; el backend común no puede contabilizarse como trabajo de ambos clientes.</x:v>
      </x:c>
      <x:c r="B48" s="16"/>
      <x:c r="C48" s="16"/>
      <x:c r="D48" s="16"/>
      <x:c r="E48" s="16"/>
      <x:c r="F48" s="16"/>
      <x:c r="G48" s="16"/>
      <x:c r="H48" s="16"/>
    </x:row>
    <x:row r="49" ht="36" customHeight="1">
      <x:c r="A49" s="16" t="str">
        <x:v>6. PMDM.KAN.07 y PMDM.QA.02 quedan diferenciadas: la primera valida tests específicos del flujo Kanban; la segunda exige tests adicionales de autenticación/sesión/servicios compartidos.</x:v>
      </x:c>
      <x:c r="B49" s="16"/>
      <x:c r="C49" s="16"/>
      <x:c r="D49" s="16"/>
      <x:c r="E49" s="16"/>
      <x:c r="F49" s="16"/>
      <x:c r="G49" s="16"/>
      <x:c r="H49" s="16"/>
    </x:row>
    <x:row r="50" ht="36" customHeight="1">
      <x:c r="A50" s="16" t="str">
        <x:v>7. Costes de Nube e IPE II pueden compartir datos, pero Nube valida infraestructura/coste técnico e IPE II la viabilidad/TCO empresarial.</x:v>
      </x:c>
      <x:c r="B50" s="16"/>
      <x:c r="C50" s="16"/>
      <x:c r="D50" s="16"/>
      <x:c r="E50" s="16"/>
      <x:c r="F50" s="16"/>
      <x:c r="G50" s="16"/>
      <x:c r="H50" s="16"/>
    </x:row>
    <x:row r="51" ht="36" customHeight="1">
      <x:c r="A51" s="16" t="str">
        <x:v>8. Para equipos de tamaño distinto a 3 no se cambian los AT de las tareas: cambia el alcance necesario por persona. Un equipo de 4 necesita ampliar hasta al menos 200 AT para poder aspirar al 5; un equipo de 2 asume más trabajo por persona y el mismo núcleo puede situarlo por encima del 5.</x:v>
      </x:c>
      <x:c r="B51" s="16"/>
      <x:c r="C51" s="16"/>
      <x:c r="D51" s="16"/>
      <x:c r="E51" s="16"/>
      <x:c r="F51" s="16"/>
      <x:c r="G51" s="16"/>
      <x:c r="H51" s="16"/>
    </x:row>
  </x:sheetData>
  <x:mergeCells>
    <x:mergeCell ref="A1:H1"/>
    <x:mergeCell ref="A2:H2"/>
    <x:mergeCell ref="A43:H43"/>
    <x:mergeCell ref="A44:H44"/>
    <x:mergeCell ref="A45:H45"/>
    <x:mergeCell ref="A46:H46"/>
    <x:mergeCell ref="A47:H47"/>
    <x:mergeCell ref="A48:H48"/>
    <x:mergeCell ref="A49:H49"/>
    <x:mergeCell ref="A50:H50"/>
    <x:mergeCell ref="A51:H51"/>
  </x:mergeCells>
  <x:pageMargins left="0.7" right="0.7" top="0.75" bottom="0.75" header="0.3" footer="0.3"/>
</x:worksheet>
</file>

<file path=xl/worksheets/sheet17.xml><?xml version="1.0" encoding="utf-8"?>
<x:worksheet xmlns:x="http://schemas.openxmlformats.org/spreadsheetml/2006/main">
  <x:sheetFormatPr defaultRowHeight="15"/>
  <x:cols>
    <x:col min="1" max="1" width="8" hidden="0" customWidth="1"/>
    <x:col min="2" max="2" width="10" hidden="0" customWidth="1"/>
    <x:col min="3" max="3" width="12" hidden="0" customWidth="1"/>
    <x:col min="4" max="4" width="14" hidden="0" customWidth="1"/>
    <x:col min="5" max="5" width="42" hidden="0" customWidth="1"/>
    <x:col min="6" max="6" width="42" hidden="0" customWidth="1"/>
    <x:col min="7" max="7" width="18" hidden="0" customWidth="1"/>
    <x:col min="8" max="8" width="38" hidden="0" customWidth="1"/>
  </x:cols>
  <x:sheetData>
    <x:row r="1">
      <x:c r="A1" s="214" t="str">
        <x:v>VERTICAL MÍNIMO OBLIGATORIO · AULAFLOW 2.0 · 150 AT</x:v>
      </x:c>
      <x:c r="B1" s="214"/>
      <x:c r="C1" s="214"/>
      <x:c r="D1" s="214"/>
      <x:c r="E1" s="214"/>
      <x:c r="F1" s="214"/>
      <x:c r="G1" s="214"/>
      <x:c r="H1" s="214"/>
    </x:row>
    <x:row r="2">
      <x:c r="A2" s="222" t="str">
        <x:v>El núcleo no es una lista de tareas aisladas: debe producir un sistema heredado comprendido, backend común, dos clientes, migración, calidad mínima, release y defensa.</x:v>
      </x:c>
      <x:c r="B2" s="222"/>
      <x:c r="C2" s="222"/>
      <x:c r="D2" s="222"/>
      <x:c r="E2" s="222"/>
      <x:c r="F2" s="222"/>
      <x:c r="G2" s="222"/>
      <x:c r="H2" s="222"/>
    </x:row>
    <x:row r="4">
      <x:c r="A4" s="223" t="str">
        <x:v>Hito</x:v>
      </x:c>
      <x:c r="B4" s="223" t="str">
        <x:v>AT</x:v>
      </x:c>
      <x:c r="C4" s="223" t="str">
        <x:v>AT acum.</x:v>
      </x:c>
      <x:c r="D4" s="223" t="str">
        <x:v>Horas equipo</x:v>
      </x:c>
      <x:c r="E4" s="223" t="str">
        <x:v>Resultado funcional verificable</x:v>
      </x:c>
      <x:c r="F4" s="223" t="str">
        <x:v>Tareas/prefijos principales</x:v>
      </x:c>
      <x:c r="G4" s="223" t="str">
        <x:v>Puerta</x:v>
      </x:c>
      <x:c r="H4" s="223" t="str">
        <x:v>Aceptación del hito</x:v>
      </x:c>
    </x:row>
    <x:row r="5">
      <x:c r="A5" s="16" t="str">
        <x:v>H0</x:v>
      </x:c>
      <x:c r="B5" s="16" t="n">
        <x:v>5</x:v>
      </x:c>
      <x:c r="C5" s="16" t="n">
        <x:v>5</x:v>
      </x:c>
      <x:c r="D5" s="16" t="n">
        <x:v>12</x:v>
      </x:c>
      <x:c r="E5" s="16" t="str">
        <x:v>AulaFlow 1.0 ejecutado y auditado; decisiones conservar/migrar/sustituir/descartar registradas.</x:v>
      </x:c>
      <x:c r="F5" s="16" t="str">
        <x:v>PI.LEG.*</x:v>
      </x:c>
      <x:c r="G5" s="16" t="str">
        <x:v>G0</x:v>
      </x:c>
      <x:c r="H5" s="16" t="str">
        <x:v>Demo del legado + informe de auditoría aceptado</x:v>
      </x:c>
    </x:row>
    <x:row r="6">
      <x:c r="A6" s="16" t="str">
        <x:v>H1</x:v>
      </x:c>
      <x:c r="B6" s="16" t="n">
        <x:v>16</x:v>
      </x:c>
      <x:c r="C6" s="16" t="n">
        <x:v>21</x:v>
      </x:c>
      <x:c r="D6" s="16" t="n">
        <x:v>32</x:v>
      </x:c>
      <x:c r="E6" s="16" t="str">
        <x:v>Contrato firmado, backlog operativo y base backend/migración preparada.</x:v>
      </x:c>
      <x:c r="F6" s="16" t="str">
        <x:v>PI.CON.*, PI.PLAN.*, AD.API.01, AD.MIG.01-02</x:v>
      </x:c>
      <x:c r="G6" s="16" t="str">
        <x:v>G1</x:v>
      </x:c>
      <x:c r="H6" s="16" t="str">
        <x:v>Baseline versionado + GitHub Project + Sprint 1</x:v>
      </x:c>
    </x:row>
    <x:row r="7">
      <x:c r="A7" s="16" t="str">
        <x:v>H2</x:v>
      </x:c>
      <x:c r="B7" s="16" t="n">
        <x:v>49</x:v>
      </x:c>
      <x:c r="C7" s="16" t="n">
        <x:v>70</x:v>
      </x:c>
      <x:c r="D7" s="16" t="n">
        <x:v>102</x:v>
      </x:c>
      <x:c r="E7" s="16" t="str">
        <x:v>Primer vertical: API/OpenAPI, identidad, espacios/roles, tablero básico y shells autenticadas.</x:v>
      </x:c>
      <x:c r="F7" s="16" t="str">
        <x:v>AD.API.*, AD.AUTH.*, AD.SPACE.*, AD.KAN.01-03, PMDM.ARCH.*, DI.ARCH.*, DI.AUTH.01-03</x:v>
      </x:c>
      <x:c r="G7" s="16" t="str">
        <x:v>G2 cuando proceda</x:v>
      </x:c>
      <x:c r="H7" s="16" t="str">
        <x:v>Dos clientes pueden autenticarse y consultar el mismo backend</x:v>
      </x:c>
    </x:row>
    <x:row r="8">
      <x:c r="A8" s="16" t="str">
        <x:v>H3</x:v>
      </x:c>
      <x:c r="B8" s="16" t="n">
        <x:v>70</x:v>
      </x:c>
      <x:c r="C8" s="16" t="n">
        <x:v>140</x:v>
      </x:c>
      <x:c r="D8" s="16" t="n">
        <x:v>146</x:v>
      </x:c>
      <x:c r="E8" s="16" t="str">
        <x:v>Integración multicliente: Kanban compartido operativo en Flutter y MAUI + migración reproducible.</x:v>
      </x:c>
      <x:c r="F8" s="16" t="str">
        <x:v>AD.KAN.*, AD.MIG.*, PMDM.AUTH.*, PMDM.KAN.*, DI.KAN.*, PI.RISK.*</x:v>
      </x:c>
      <x:c r="G8" s="16" t="str">
        <x:v>G2/G3</x:v>
      </x:c>
      <x:c r="H8" s="16" t="str">
        <x:v>Movimiento de tarjeta persiste y se observa desde otro cliente; migración demostrada</x:v>
      </x:c>
    </x:row>
    <x:row r="9">
      <x:c r="A9" s="16" t="str">
        <x:v>H4</x:v>
      </x:c>
      <x:c r="B9" s="16" t="n">
        <x:v>7</x:v>
      </x:c>
      <x:c r="C9" s="16" t="n">
        <x:v>147</x:v>
      </x:c>
      <x:c r="D9" s="16" t="n">
        <x:v>20</x:v>
      </x:c>
      <x:c r="E9" s="16" t="str">
        <x:v>Calidad mínima pre-FE: analyze/tests/build/CI y evidencias de calidad del cliente/escritorio.</x:v>
      </x:c>
      <x:c r="F9" s="16" t="str">
        <x:v>PMDM.QA.*, DI.QUAL.02-03 + G3/G4/G5 cuando estén activas</x:v>
      </x:c>
      <x:c r="G9" s="16" t="str">
        <x:v>G3/G4/G5</x:v>
      </x:c>
      <x:c r="H9" s="16" t="str">
        <x:v>Pipelines/pruebas/builds en estado aceptable y sin secretos expuestos</x:v>
      </x:c>
    </x:row>
    <x:row r="10">
      <x:c r="A10" s="16" t="str">
        <x:v>H5</x:v>
      </x:c>
      <x:c r="B10" s="16" t="n">
        <x:v>3</x:v>
      </x:c>
      <x:c r="C10" s="16" t="n">
        <x:v>150</x:v>
      </x:c>
      <x:c r="D10" s="16" t="n">
        <x:v>8</x:v>
      </x:c>
      <x:c r="E10" s="16" t="str">
        <x:v>Release identificable, changelog, runbook, demo integrada, retrospectiva y defensa individual.</x:v>
      </x:c>
      <x:c r="F10" s="16" t="str">
        <x:v>PI.CLOSE.*</x:v>
      </x:c>
      <x:c r="G10" s="16" t="str">
        <x:v>G6/G7</x:v>
      </x:c>
      <x:c r="H10" s="16" t="str">
        <x:v>Release candidata aceptada + defensa individual superada</x:v>
      </x:c>
    </x:row>
    <x:row r="12">
      <x:c r="A12" s="219" t="str">
        <x:v>PRUEBA DE VERTICAL OBLIGATORIO</x:v>
      </x:c>
      <x:c r="B12" s="219"/>
      <x:c r="C12" s="219"/>
      <x:c r="D12" s="219"/>
      <x:c r="E12" s="219"/>
      <x:c r="F12" s="219"/>
      <x:c r="G12" s="219"/>
      <x:c r="H12" s="219"/>
    </x:row>
    <x:row r="13" ht="30" customHeight="1">
      <x:c r="A13" s="234" t="str">
        <x:v>1</x:v>
      </x:c>
      <x:c r="B13" s="101" t="str">
        <x:v>Un usuario válido puede autenticarse contra el backend común.</x:v>
      </x:c>
      <x:c r="C13" s="101"/>
      <x:c r="D13" s="101"/>
      <x:c r="E13" s="101"/>
      <x:c r="F13" s="101"/>
      <x:c r="G13" s="101"/>
      <x:c r="H13" s="101"/>
    </x:row>
    <x:row r="14" ht="30" customHeight="1">
      <x:c r="A14" s="234" t="str">
        <x:v>2</x:v>
      </x:c>
      <x:c r="B14" s="101" t="str">
        <x:v>El usuario solo accede a espacios/tableros autorizados.</x:v>
      </x:c>
      <x:c r="C14" s="101"/>
      <x:c r="D14" s="101"/>
      <x:c r="E14" s="101"/>
      <x:c r="F14" s="101"/>
      <x:c r="G14" s="101"/>
      <x:c r="H14" s="101"/>
    </x:row>
    <x:row r="15" ht="30" customHeight="1">
      <x:c r="A15" s="234" t="str">
        <x:v>3</x:v>
      </x:c>
      <x:c r="B15" s="101" t="str">
        <x:v>Existe al menos un tablero persistente con columnas y tarjetas.</x:v>
      </x:c>
      <x:c r="C15" s="101"/>
      <x:c r="D15" s="101"/>
      <x:c r="E15" s="101"/>
      <x:c r="F15" s="101"/>
      <x:c r="G15" s="101"/>
      <x:c r="H15" s="101"/>
    </x:row>
    <x:row r="16" ht="30" customHeight="1">
      <x:c r="A16" s="234" t="str">
        <x:v>4</x:v>
      </x:c>
      <x:c r="B16" s="101" t="str">
        <x:v>Flutter consulta el tablero, crea/edita/mueve una tarjeta y gestiona errores.</x:v>
      </x:c>
      <x:c r="C16" s="101"/>
      <x:c r="D16" s="101"/>
      <x:c r="E16" s="101"/>
      <x:c r="F16" s="101"/>
      <x:c r="G16" s="101"/>
      <x:c r="H16" s="101"/>
    </x:row>
    <x:row r="17" ht="30" customHeight="1">
      <x:c r="A17" s="234" t="str">
        <x:v>5</x:v>
      </x:c>
      <x:c r="B17" s="101" t="str">
        <x:v>MAUI consulta el mismo tablero y realiza al menos una operación de escritura.</x:v>
      </x:c>
      <x:c r="C17" s="101"/>
      <x:c r="D17" s="101"/>
      <x:c r="E17" s="101"/>
      <x:c r="F17" s="101"/>
      <x:c r="G17" s="101"/>
      <x:c r="H17" s="101"/>
    </x:row>
    <x:row r="18" ht="30" customHeight="1">
      <x:c r="A18" s="234" t="str">
        <x:v>6</x:v>
      </x:c>
      <x:c r="B18" s="101" t="str">
        <x:v>Un cambio realizado desde un cliente es visible desde el otro tras refresco/consulta.</x:v>
      </x:c>
      <x:c r="C18" s="101"/>
      <x:c r="D18" s="101"/>
      <x:c r="E18" s="101"/>
      <x:c r="F18" s="101"/>
      <x:c r="G18" s="101"/>
      <x:c r="H18" s="101"/>
    </x:row>
    <x:row r="19" ht="30" customHeight="1">
      <x:c r="A19" s="234" t="str">
        <x:v>7</x:v>
      </x:c>
      <x:c r="B19" s="101" t="str">
        <x:v>AulaFlow 1.0 puede migrarse mediante proceso reproducible con informe de integridad.</x:v>
      </x:c>
      <x:c r="C19" s="101"/>
      <x:c r="D19" s="101"/>
      <x:c r="E19" s="101"/>
      <x:c r="F19" s="101"/>
      <x:c r="G19" s="101"/>
      <x:c r="H19" s="101"/>
    </x:row>
    <x:row r="20" ht="30" customHeight="1">
      <x:c r="A20" s="234" t="str">
        <x:v>8</x:v>
      </x:c>
      <x:c r="B20" s="101" t="str">
        <x:v>Existe evidencia de pruebas/CI/build según el punto del curso.</x:v>
      </x:c>
      <x:c r="C20" s="101"/>
      <x:c r="D20" s="101"/>
      <x:c r="E20" s="101"/>
      <x:c r="F20" s="101"/>
      <x:c r="G20" s="101"/>
      <x:c r="H20" s="101"/>
    </x:row>
    <x:row r="21" ht="30" customHeight="1">
      <x:c r="A21" s="234" t="str">
        <x:v>9</x:v>
      </x:c>
      <x:c r="B21" s="101" t="str">
        <x:v>El repositorio conserva issues, PR, decisiones y cambios trazables.</x:v>
      </x:c>
      <x:c r="C21" s="101"/>
      <x:c r="D21" s="101"/>
      <x:c r="E21" s="101"/>
      <x:c r="F21" s="101"/>
      <x:c r="G21" s="101"/>
      <x:c r="H21" s="101"/>
    </x:row>
    <x:row r="22" ht="30" customHeight="1">
      <x:c r="A22" s="234" t="str">
        <x:v>10</x:v>
      </x:c>
      <x:c r="B22" s="101" t="str">
        <x:v>El equipo puede arrancar, demostrar y explicar la release sin depender de una sesión previa del profesor.</x:v>
      </x:c>
      <x:c r="C22" s="101"/>
      <x:c r="D22" s="101"/>
      <x:c r="E22" s="101"/>
      <x:c r="F22" s="101"/>
      <x:c r="G22" s="101"/>
      <x:c r="H22" s="101"/>
    </x:row>
  </x:sheetData>
  <x:mergeCells>
    <x:mergeCell ref="A1:H1"/>
    <x:mergeCell ref="A2:H2"/>
    <x:mergeCell ref="A12:H12"/>
    <x:mergeCell ref="B13:H13"/>
    <x:mergeCell ref="B14:H14"/>
    <x:mergeCell ref="B15:H15"/>
    <x:mergeCell ref="B16:H16"/>
    <x:mergeCell ref="B17:H17"/>
    <x:mergeCell ref="B18:H18"/>
    <x:mergeCell ref="B19:H19"/>
    <x:mergeCell ref="B20:H20"/>
    <x:mergeCell ref="B21:H21"/>
    <x:mergeCell ref="B22:H22"/>
  </x:mergeCells>
  <x:pageMargins left="0.7" right="0.7" top="0.75" bottom="0.75" header="0.3" footer="0.3"/>
</x:worksheet>
</file>

<file path=xl/worksheets/sheet18.xml><?xml version="1.0" encoding="utf-8"?>
<x:worksheet xmlns:x="http://schemas.openxmlformats.org/spreadsheetml/2006/main">
  <x:sheetFormatPr defaultRowHeight="15"/>
  <x:cols>
    <x:col min="1" max="1" width="24" hidden="0" customWidth="1"/>
    <x:col min="2" max="2" width="28" hidden="0" customWidth="1"/>
    <x:col min="3" max="3" width="14" hidden="0" customWidth="1"/>
    <x:col min="4" max="4" width="30" hidden="0" customWidth="1"/>
    <x:col min="5" max="5" width="24" hidden="0" customWidth="1"/>
    <x:col min="6" max="6" width="28" hidden="0" customWidth="1"/>
    <x:col min="7" max="7" width="21" hidden="0" customWidth="1"/>
    <x:col min="8" max="8" width="30" hidden="0" customWidth="1"/>
  </x:cols>
  <x:sheetData>
    <x:row r="1" ht="32" customHeight="1">
      <x:c r="A1" s="214" t="str">
        <x:v>AulaFlow 2.0 · Contrato operativo v1.0</x:v>
      </x:c>
      <x:c r="B1" s="214"/>
      <x:c r="C1" s="214"/>
      <x:c r="D1" s="214"/>
      <x:c r="E1" s="214"/>
      <x:c r="F1" s="214"/>
      <x:c r="G1" s="214"/>
      <x:c r="H1" s="214"/>
    </x:row>
    <x:row r="2" ht="36" customHeight="1">
      <x:c r="A2" s="222" t="str">
        <x:v>Completar equipo, repositorio e integrantes aquí (2–4, sin huecos ni duplicados). Las hojas 00 y 12 enlazan estos datos.</x:v>
      </x:c>
      <x:c r="B2" s="222"/>
      <x:c r="C2" s="222"/>
      <x:c r="D2" s="222"/>
      <x:c r="E2" s="222"/>
      <x:c r="F2" s="222"/>
      <x:c r="G2" s="222"/>
      <x:c r="H2" s="222"/>
    </x:row>
    <x:row r="4">
      <x:c r="A4" s="221" t="str">
        <x:v>DATOS DEL EQUIPO</x:v>
      </x:c>
      <x:c r="B4" s="221" t="str">
        <x:v>Valor</x:v>
      </x:c>
      <x:c r="D4" s="221" t="str">
        <x:v>ALCANCE</x:v>
      </x:c>
      <x:c r="E4" s="221" t="str">
        <x:v>AT</x:v>
      </x:c>
      <x:c r="F4" s="221" t="str">
        <x:v>Por persona</x:v>
      </x:c>
      <x:c r="G4" s="221" t="str">
        <x:v>Referencia techo</x:v>
      </x:c>
      <x:c r="H4" s="221" t="str">
        <x:v>Estado</x:v>
      </x:c>
    </x:row>
    <x:row r="5" ht="38" customHeight="1">
      <x:c r="A5" s="16" t="str">
        <x:v>Nombre del equipo</x:v>
      </x:c>
      <x:c r="B5" s="236" t="str"/>
      <x:c r="C5" s="16"/>
      <x:c r="D5" s="16" t="str">
        <x:v>Núcleo obligatorio</x:v>
      </x:c>
      <x:c r="E5" s="16" t="n">
        <x:v>150</x:v>
      </x:c>
      <x:c r="F5" s="16"/>
      <x:c r="G5" s="16"/>
      <x:c r="H5" s="16" t="str">
        <x:v>OBL</x:v>
      </x:c>
    </x:row>
    <x:row r="6" ht="38" customHeight="1">
      <x:c r="A6" s="16" t="str">
        <x:v>Repositorio GitHub</x:v>
      </x:c>
      <x:c r="B6" s="236" t="str"/>
      <x:c r="C6" s="16"/>
      <x:c r="D6" s="16" t="str">
        <x:v>Ampliaciones seleccionadas</x:v>
      </x:c>
      <x:c r="E6" s="16" t="n">
        <x:f>MAX(0,'00 Contrato'!D23-E5)</x:f>
        <x:v>0</x:v>
      </x:c>
      <x:c r="F6" s="16"/>
      <x:c r="G6" s="16"/>
      <x:c r="H6" s="16" t="str">
        <x:v>según anexo</x:v>
      </x:c>
    </x:row>
    <x:row r="7" ht="38" customHeight="1">
      <x:c r="A7" s="16" t="str">
        <x:v>Integrante 1</x:v>
      </x:c>
      <x:c r="B7" s="236"/>
      <x:c r="C7" s="16"/>
      <x:c r="D7" s="16" t="str">
        <x:v>TOTAL CONTRATADO</x:v>
      </x:c>
      <x:c r="E7" s="16" t="n">
        <x:f>'00 Contrato'!D23</x:f>
        <x:v>150</x:v>
      </x:c>
      <x:c r="F7" s="16" t="str">
        <x:f>IF(E11="OK",E7/B11,"")</x:f>
      </x:c>
      <x:c r="G7" s="16" t="str">
        <x:f>IF(E11&lt;&gt;"OK","",IF(F7&lt;50,"&lt;5",IF(F7&lt;60,5,IF(F7&lt;70,6,IF(F7&lt;80,7,IF(F7&lt;90,8,IF(F7&lt;100,9,10)))))))</x:f>
      </x:c>
      <x:c r="H7" s="16" t="str">
        <x:v>Referencia con reparto equilibrado; cálculo personal en 12 Reparto.</x:v>
      </x:c>
    </x:row>
    <x:row r="8" ht="38" customHeight="1">
      <x:c r="A8" s="16" t="str">
        <x:v>Integrante 2</x:v>
      </x:c>
      <x:c r="B8" s="236"/>
      <x:c r="C8" s="16"/>
      <x:c r="D8" s="16" t="str">
        <x:v>Media de AT contratados/persona</x:v>
      </x:c>
      <x:c r="E8" s="16"/>
      <x:c r="F8" s="16" t="str">
        <x:f>IF(E11="OK",F7,"")</x:f>
      </x:c>
      <x:c r="G8" s="16"/>
      <x:c r="H8" s="16" t="str">
        <x:v>referencia de alcance</x:v>
      </x:c>
    </x:row>
    <x:row r="9" ht="38" customHeight="1">
      <x:c r="A9" s="16" t="str">
        <x:v>Integrante 3</x:v>
      </x:c>
      <x:c r="B9" s="236"/>
      <x:c r="C9" s="16"/>
      <x:c r="D9" s="16" t="str">
        <x:v>Umbral mínimo para aprobar por alcance</x:v>
      </x:c>
      <x:c r="E9" s="16" t="str">
        <x:f>IF(E11="OK",50*B11,"")</x:f>
      </x:c>
      <x:c r="F9" s="16"/>
      <x:c r="G9" s="16"/>
      <x:c r="H9" s="16" t="str">
        <x:v>50 AT efectivos/persona</x:v>
      </x:c>
    </x:row>
    <x:row r="10" ht="38" customHeight="1">
      <x:c r="A10" s="16" t="str">
        <x:v>Integrante 4 (si procede)</x:v>
      </x:c>
      <x:c r="B10" s="236"/>
      <x:c r="C10" s="16"/>
      <x:c r="D10" s="16" t="str">
        <x:v>AT extra sobre el núcleo</x:v>
      </x:c>
      <x:c r="E10" s="16" t="n">
        <x:f>MAX(0,E7-E5)</x:f>
        <x:v>0</x:v>
      </x:c>
      <x:c r="F10" s="16"/>
      <x:c r="G10" s="16"/>
      <x:c r="H10" s="16" t="str">
        <x:v>No sustituye las puertas aplicables.</x:v>
      </x:c>
    </x:row>
    <x:row r="11" ht="38" customHeight="1">
      <x:c r="A11" s="16" t="str">
        <x:v>Nº integrantes</x:v>
      </x:c>
      <x:c r="B11" s="16" t="n">
        <x:f>COUNTIF(B7:B10,"&lt;&gt;")</x:f>
        <x:v>0</x:v>
      </x:c>
      <x:c r="C11" s="16"/>
      <x:c r="D11" s="16" t="str">
        <x:v>Control de integrantes</x:v>
      </x:c>
      <x:c r="E11" s="238" t="str">
        <x:f>IF(B11=0,"PENDIENTE_INTEGRANTES",IF(OR(B7&lt;&gt;TRIM(B7),B8&lt;&gt;TRIM(B8),B9&lt;&gt;TRIM(B9),B10&lt;&gt;TRIM(B10)),"REVISAR_ESPACIOS",IF(OR(AND(B7&lt;&gt;"",COUNTIF($B$7:$B$10,B7)&gt;1),AND(B8&lt;&gt;"",COUNTIF($B$7:$B$10,B8)&gt;1),AND(B9&lt;&gt;"",COUNTIF($B$7:$B$10,B9)&gt;1),AND(B10&lt;&gt;"",COUNTIF($B$7:$B$10,B10)&gt;1)),"REVISAR_DUPLICADOS",IF(OR(B7="",B8="",AND(B9="",B10&lt;&gt;"")),"COMPLETAR_LISTA","OK"))))</x:f>
        <x:v>PENDIENTE_INTEGRANTES</x:v>
      </x:c>
      <x:c r="F11" s="238"/>
      <x:c r="G11" s="238"/>
      <x:c r="H11" s="238"/>
    </x:row>
    <x:row r="12" ht="38" customHeight="1">
      <x:c r="A12" s="16" t="str">
        <x:v>Baseline del contrato</x:v>
      </x:c>
      <x:c r="B12" s="16" t="str">
        <x:v>Baseline v1.0 · copia operativa</x:v>
      </x:c>
      <x:c r="C12" s="16"/>
      <x:c r="D12" s="16" t="str">
        <x:v>Control de responsables</x:v>
      </x:c>
      <x:c r="E12" s="238" t="str">
        <x:f>IF(E11&lt;&gt;"OK","PENDIENTE_EQUIPO",IF(OR(SUM('12 Reparto'!B5:B8)&lt;&gt;'00 Contrato'!D23,SUM('12 Reparto'!C5:C8)&lt;&gt;'00 Contrato'!E23),"REVISAR_RESPONSABLES","OK"))</x:f>
        <x:v>PENDIENTE_EQUIPO</x:v>
      </x:c>
      <x:c r="F12" s="238"/>
      <x:c r="G12" s="238"/>
      <x:c r="H12" s="238"/>
    </x:row>
    <x:row r="14">
      <x:c r="A14" s="219" t="str">
        <x:v>COMPROMISOS DEL EQUIPO</x:v>
      </x:c>
      <x:c r="B14" s="219"/>
      <x:c r="C14" s="219"/>
      <x:c r="D14" s="219"/>
      <x:c r="E14" s="219"/>
      <x:c r="F14" s="219"/>
      <x:c r="G14" s="219"/>
      <x:c r="H14" s="219"/>
    </x:row>
    <x:row r="15">
      <x:c r="A15" s="16" t="str">
        <x:v>1. El equipo acepta el núcleo obligatorio y las ampliaciones marcadas en el anexo operativo.</x:v>
      </x:c>
      <x:c r="B15" s="16"/>
      <x:c r="C15" s="16"/>
      <x:c r="D15" s="16"/>
      <x:c r="E15" s="16"/>
      <x:c r="F15" s="16"/>
      <x:c r="G15" s="16"/>
      <x:c r="H15" s="16"/>
    </x:row>
    <x:row r="16">
      <x:c r="A16" s="16" t="str">
        <x:v>2. Cada tarea contratada tendrá responsable principal, hito/sprint, horas presupuestadas y evidencia.</x:v>
      </x:c>
      <x:c r="B16" s="16"/>
      <x:c r="C16" s="16"/>
      <x:c r="D16" s="16"/>
      <x:c r="E16" s="16"/>
      <x:c r="F16" s="16"/>
      <x:c r="G16" s="16"/>
      <x:c r="H16" s="16"/>
    </x:row>
    <x:row r="17">
      <x:c r="A17" s="16" t="str">
        <x:v>3. Una tarea solo valida AulaTokens cuando esté ACEPTADA; DONE técnico sin aceptación no basta.</x:v>
      </x:c>
      <x:c r="B17" s="16"/>
      <x:c r="C17" s="16"/>
      <x:c r="D17" s="16"/>
      <x:c r="E17" s="16"/>
      <x:c r="F17" s="16"/>
      <x:c r="G17" s="16"/>
      <x:c r="H17" s="16"/>
    </x:row>
    <x:row r="18">
      <x:c r="A18" s="16" t="str">
        <x:v>4. El equipo mantendrá GitHub Project, issues, PR, decisiones, horas y cambios actualizados.</x:v>
      </x:c>
      <x:c r="B18" s="16"/>
      <x:c r="C18" s="16"/>
      <x:c r="D18" s="16"/>
      <x:c r="E18" s="16"/>
      <x:c r="F18" s="16"/>
      <x:c r="G18" s="16"/>
      <x:c r="H18" s="16"/>
    </x:row>
    <x:row r="19">
      <x:c r="A19" s="16" t="str">
        <x:v>5. La responsabilidad individual no elimina la responsabilidad sobre el producto integrado.</x:v>
      </x:c>
      <x:c r="B19" s="16"/>
      <x:c r="C19" s="16"/>
      <x:c r="D19" s="16"/>
      <x:c r="E19" s="16"/>
      <x:c r="F19" s="16"/>
      <x:c r="G19" s="16"/>
      <x:c r="H19" s="16"/>
    </x:row>
    <x:row r="20" ht="52" customHeight="1">
      <x:c r="A20" s="16" t="str">
        <x:v>G0/G1/G6/G7 están activas; requieren evidencia. G2–G5 solo son no compensables tras activación expresa, criterios observables, justificación curricular, capacidad/oportunidad y recuperación. Ninguna puerta se concede por AT.</x:v>
      </x:c>
      <x:c r="B20" s="16"/>
      <x:c r="C20" s="16"/>
      <x:c r="D20" s="16"/>
      <x:c r="E20" s="16"/>
      <x:c r="F20" s="16"/>
      <x:c r="G20" s="16"/>
      <x:c r="H20" s="16"/>
    </x:row>
    <x:row r="21">
      <x:c r="A21" s="16" t="str">
        <x:v>7. El uso de IA debe ser trazable cuando se solicite y cualquier integrante debe poder explicar, modificar y defender el trabajo atribuido.</x:v>
      </x:c>
      <x:c r="B21" s="16"/>
      <x:c r="C21" s="16"/>
      <x:c r="D21" s="16"/>
      <x:c r="E21" s="16"/>
      <x:c r="F21" s="16"/>
      <x:c r="G21" s="16"/>
      <x:c r="H21" s="16"/>
    </x:row>
    <x:row r="22">
      <x:c r="A22" s="16" t="str">
        <x:v>8. Los cambios de alcance requieren Change Request aprobado antes de modificar el baseline; no se reescribe el contrato retrospectivamente para ajustar puntos.</x:v>
      </x:c>
      <x:c r="B22" s="16"/>
      <x:c r="C22" s="16"/>
      <x:c r="D22" s="16"/>
      <x:c r="E22" s="16"/>
      <x:c r="F22" s="16"/>
      <x:c r="G22" s="16"/>
      <x:c r="H22" s="16"/>
    </x:row>
    <x:row r="24">
      <x:c r="A24" s="219" t="str">
        <x:v>FIRMA / ACEPTACIÓN DEL BASELINE</x:v>
      </x:c>
      <x:c r="B24" s="219"/>
      <x:c r="C24" s="219"/>
      <x:c r="D24" s="219"/>
      <x:c r="E24" s="219"/>
      <x:c r="F24" s="219"/>
      <x:c r="G24" s="219"/>
      <x:c r="H24" s="219"/>
    </x:row>
    <x:row r="25">
      <x:c r="A25" s="225" t="str">
        <x:v>Rol</x:v>
      </x:c>
      <x:c r="B25" s="225" t="str">
        <x:v>Nombre</x:v>
      </x:c>
      <x:c r="C25" s="225" t="str">
        <x:v>Fecha</x:v>
      </x:c>
      <x:c r="D25" s="225" t="str">
        <x:v>Firma/confirmación</x:v>
      </x:c>
      <x:c r="E25" s="225" t="str">
        <x:v>Rol</x:v>
      </x:c>
      <x:c r="F25" s="225" t="str">
        <x:v>Nombre</x:v>
      </x:c>
      <x:c r="G25" s="225" t="str">
        <x:v>Fecha</x:v>
      </x:c>
      <x:c r="H25" s="225" t="str">
        <x:v>Firma/confirmación</x:v>
      </x:c>
    </x:row>
    <x:row r="26">
      <x:c r="A26" t="str">
        <x:v>Integrante 1</x:v>
      </x:c>
      <x:c r="B26" t="str">
        <x:f>IF(B7="","",B7)</x:f>
      </x:c>
      <x:c r="C26" t="str"/>
      <x:c r="D26" t="str"/>
      <x:c r="E26" t="str">
        <x:v>Integrante 3</x:v>
      </x:c>
      <x:c r="F26" t="str">
        <x:f>IF(B9="","",B9)</x:f>
      </x:c>
      <x:c r="G26" t="str"/>
      <x:c r="H26" t="str"/>
    </x:row>
    <x:row r="27">
      <x:c r="A27" t="str">
        <x:v>Integrante 2</x:v>
      </x:c>
      <x:c r="B27" t="str">
        <x:f>IF(B8="","",B8)</x:f>
      </x:c>
      <x:c r="C27" t="str"/>
      <x:c r="D27" t="str"/>
      <x:c r="E27" t="str">
        <x:v>Integrante 4</x:v>
      </x:c>
      <x:c r="F27" t="str">
        <x:f>IF(B10="","",B10)</x:f>
      </x:c>
      <x:c r="G27" t="str"/>
      <x:c r="H27" t="str"/>
    </x:row>
    <x:row r="28">
      <x:c r="A28" t="str">
        <x:v>Docente responsable</x:v>
      </x:c>
      <x:c r="B28" t="str"/>
      <x:c r="C28" t="str"/>
      <x:c r="D28" t="str"/>
      <x:c r="E28" t="str">
        <x:v>Baseline</x:v>
      </x:c>
      <x:c r="F28" t="str"/>
      <x:c r="G28" t="str"/>
      <x:c r="H28" t="str"/>
    </x:row>
    <x:row r="30" ht="42" customHeight="1">
      <x:c r="A30" s="62" t="str">
        <x:v>Copia operativa: catálogo original conservado. Cada tarea admite una persona responsable; si la atribución es compartida, acordar y adjuntar anexo, sin duplicar tareas ni AT. La hoja no calcula ese anexo.</x:v>
      </x:c>
      <x:c r="B30" s="62"/>
      <x:c r="C30" s="62"/>
      <x:c r="D30" s="62"/>
      <x:c r="E30" s="62"/>
      <x:c r="F30" s="62"/>
      <x:c r="G30" s="62"/>
      <x:c r="H30" s="62"/>
    </x:row>
  </x:sheetData>
  <x:mergeCells>
    <x:mergeCell ref="A1:H1"/>
    <x:mergeCell ref="A2:H2"/>
    <x:mergeCell ref="A14:H14"/>
    <x:mergeCell ref="A15:H15"/>
    <x:mergeCell ref="A16:H16"/>
    <x:mergeCell ref="A17:H17"/>
    <x:mergeCell ref="A18:H18"/>
    <x:mergeCell ref="A19:H19"/>
    <x:mergeCell ref="A20:H20"/>
    <x:mergeCell ref="A21:H21"/>
    <x:mergeCell ref="A22:H22"/>
    <x:mergeCell ref="A24:H24"/>
    <x:mergeCell ref="A30:H30"/>
    <x:mergeCell ref="E11:H11"/>
    <x:mergeCell ref="E12:H12"/>
  </x:mergeCells>
  <x:pageMargins left="0.7" right="0.7" top="0.75" bottom="0.75" header="0.3" footer="0.3"/>
</x:worksheet>
</file>

<file path=xl/worksheets/sheet19.xml><?xml version="1.0" encoding="utf-8"?>
<x:worksheet xmlns:x="http://schemas.openxmlformats.org/spreadsheetml/2006/main">
  <x:sheetFormatPr defaultRowHeight="15"/>
  <x:cols>
    <x:col min="1" max="1" width="10" hidden="0" customWidth="1"/>
    <x:col min="2" max="2" width="14" hidden="0" customWidth="1"/>
    <x:col min="3" max="3" width="18" hidden="0" customWidth="1"/>
    <x:col min="4" max="4" width="32" hidden="0" customWidth="1"/>
    <x:col min="5" max="5" width="32" hidden="0" customWidth="1"/>
    <x:col min="6" max="6" width="10" hidden="0" customWidth="1"/>
    <x:col min="7" max="7" width="10" hidden="0" customWidth="1"/>
    <x:col min="8" max="8" width="14" hidden="0" customWidth="1"/>
    <x:col min="9" max="9" width="16" hidden="0" customWidth="1"/>
    <x:col min="10" max="10" width="14" hidden="0" customWidth="1"/>
    <x:col min="11" max="11" width="18" hidden="0" customWidth="1"/>
    <x:col min="12" max="12" width="14" hidden="0" customWidth="1"/>
    <x:col min="13" max="13" width="16" hidden="0" customWidth="1"/>
  </x:cols>
  <x:sheetData>
    <x:row r="1">
      <x:c r="A1" s="230" t="str">
        <x:v>REGISTRO DE CHANGE REQUESTS / REBASELINE · AULAFLOW 2.0 · v1.0 · copia operativa</x:v>
      </x:c>
      <x:c r="B1" s="230"/>
      <x:c r="C1" s="230"/>
      <x:c r="D1" s="230"/>
      <x:c r="E1" s="230"/>
      <x:c r="F1" s="230"/>
      <x:c r="G1" s="230"/>
      <x:c r="H1" s="230"/>
      <x:c r="I1" s="230"/>
      <x:c r="J1" s="230"/>
      <x:c r="K1" s="230"/>
      <x:c r="L1" s="230"/>
      <x:c r="M1" s="230"/>
    </x:row>
    <x:row r="2">
      <x:c r="A2" s="231" t="str">
        <x:v>Los cambios son prospectivos: deben justificarse y aprobarse antes de alterar tareas, AT o hitos. No se ajusta el contrato retrospectivamente para hacer coincidir lo ya realizado.</x:v>
      </x:c>
      <x:c r="B2" s="231"/>
      <x:c r="C2" s="231"/>
      <x:c r="D2" s="231"/>
      <x:c r="E2" s="231"/>
      <x:c r="F2" s="231"/>
      <x:c r="G2" s="231"/>
      <x:c r="H2" s="231"/>
      <x:c r="I2" s="231"/>
      <x:c r="J2" s="231"/>
      <x:c r="K2" s="231"/>
      <x:c r="L2" s="231"/>
      <x:c r="M2" s="231"/>
    </x:row>
    <x:row r="4">
      <x:c r="A4" s="223" t="str">
        <x:v>CR</x:v>
      </x:c>
      <x:c r="B4" s="223" t="str">
        <x:v>Fecha solicitud</x:v>
      </x:c>
      <x:c r="C4" s="223" t="str">
        <x:v>Solicita</x:v>
      </x:c>
      <x:c r="D4" s="223" t="str">
        <x:v>Motivo</x:v>
      </x:c>
      <x:c r="E4" s="223" t="str">
        <x:v>Tareas afectadas</x:v>
      </x:c>
      <x:c r="F4" s="223" t="str">
        <x:v>AT antes</x:v>
      </x:c>
      <x:c r="G4" s="223" t="str">
        <x:v>AT después</x:v>
      </x:c>
      <x:c r="H4" s="223" t="str">
        <x:v>Impacto horas</x:v>
      </x:c>
      <x:c r="I4" s="223" t="str">
        <x:v>Impacto hito</x:v>
      </x:c>
      <x:c r="J4" s="223" t="str">
        <x:v>Decisión</x:v>
      </x:c>
      <x:c r="K4" s="223" t="str">
        <x:v>Aprueba</x:v>
      </x:c>
      <x:c r="L4" s="223" t="str">
        <x:v>Fecha aprobación</x:v>
      </x:c>
      <x:c r="M4" s="223" t="str">
        <x:v>Nuevo baseline</x:v>
      </x:c>
    </x:row>
    <x:row r="5">
      <x:c r="A5" t="str"/>
      <x:c r="B5" t="str"/>
      <x:c r="C5" t="str"/>
      <x:c r="D5" t="str"/>
      <x:c r="E5" t="str"/>
      <x:c r="F5" t="str"/>
      <x:c r="G5" t="str"/>
      <x:c r="H5" t="str"/>
      <x:c r="I5" t="str"/>
      <x:c r="J5" t="str">
        <x:v>PENDIENTE</x:v>
      </x:c>
      <x:c r="K5" t="str"/>
      <x:c r="L5" t="str"/>
      <x:c r="M5" t="str"/>
    </x:row>
    <x:row r="6">
      <x:c r="A6" t="str"/>
      <x:c r="B6" t="str"/>
      <x:c r="C6" t="str"/>
      <x:c r="D6" t="str"/>
      <x:c r="E6" t="str"/>
      <x:c r="F6" t="str"/>
      <x:c r="G6" t="str"/>
      <x:c r="H6" t="str"/>
      <x:c r="I6" t="str"/>
      <x:c r="J6" t="str">
        <x:v>PENDIENTE</x:v>
      </x:c>
      <x:c r="K6" t="str"/>
      <x:c r="L6" t="str"/>
      <x:c r="M6" t="str"/>
    </x:row>
    <x:row r="7">
      <x:c r="A7" t="str"/>
      <x:c r="B7" t="str"/>
      <x:c r="C7" t="str"/>
      <x:c r="D7" t="str"/>
      <x:c r="E7" t="str"/>
      <x:c r="F7" t="str"/>
      <x:c r="G7" t="str"/>
      <x:c r="H7" t="str"/>
      <x:c r="I7" t="str"/>
      <x:c r="J7" t="str">
        <x:v>PENDIENTE</x:v>
      </x:c>
      <x:c r="K7" t="str"/>
      <x:c r="L7" t="str"/>
      <x:c r="M7" t="str"/>
    </x:row>
    <x:row r="8">
      <x:c r="A8" t="str"/>
      <x:c r="B8" t="str"/>
      <x:c r="C8" t="str"/>
      <x:c r="D8" t="str"/>
      <x:c r="E8" t="str"/>
      <x:c r="F8" t="str"/>
      <x:c r="G8" t="str"/>
      <x:c r="H8" t="str"/>
      <x:c r="I8" t="str"/>
      <x:c r="J8" t="str">
        <x:v>PENDIENTE</x:v>
      </x:c>
      <x:c r="K8" t="str"/>
      <x:c r="L8" t="str"/>
      <x:c r="M8" t="str"/>
    </x:row>
    <x:row r="9">
      <x:c r="A9" t="str"/>
      <x:c r="B9" t="str"/>
      <x:c r="C9" t="str"/>
      <x:c r="D9" t="str"/>
      <x:c r="E9" t="str"/>
      <x:c r="F9" t="str"/>
      <x:c r="G9" t="str"/>
      <x:c r="H9" t="str"/>
      <x:c r="I9" t="str"/>
      <x:c r="J9" t="str">
        <x:v>PENDIENTE</x:v>
      </x:c>
      <x:c r="K9" t="str"/>
      <x:c r="L9" t="str"/>
      <x:c r="M9" t="str"/>
    </x:row>
    <x:row r="10">
      <x:c r="A10" t="str"/>
      <x:c r="B10" t="str"/>
      <x:c r="C10" t="str"/>
      <x:c r="D10" t="str"/>
      <x:c r="E10" t="str"/>
      <x:c r="F10" t="str"/>
      <x:c r="G10" t="str"/>
      <x:c r="H10" t="str"/>
      <x:c r="I10" t="str"/>
      <x:c r="J10" t="str">
        <x:v>PENDIENTE</x:v>
      </x:c>
      <x:c r="K10" t="str"/>
      <x:c r="L10" t="str"/>
      <x:c r="M10" t="str"/>
    </x:row>
    <x:row r="11">
      <x:c r="A11" t="str"/>
      <x:c r="B11" t="str"/>
      <x:c r="C11" t="str"/>
      <x:c r="D11" t="str"/>
      <x:c r="E11" t="str"/>
      <x:c r="F11" t="str"/>
      <x:c r="G11" t="str"/>
      <x:c r="H11" t="str"/>
      <x:c r="I11" t="str"/>
      <x:c r="J11" t="str">
        <x:v>PENDIENTE</x:v>
      </x:c>
      <x:c r="K11" t="str"/>
      <x:c r="L11" t="str"/>
      <x:c r="M11" t="str"/>
    </x:row>
    <x:row r="12">
      <x:c r="A12" t="str"/>
      <x:c r="B12" t="str"/>
      <x:c r="C12" t="str"/>
      <x:c r="D12" t="str"/>
      <x:c r="E12" t="str"/>
      <x:c r="F12" t="str"/>
      <x:c r="G12" t="str"/>
      <x:c r="H12" t="str"/>
      <x:c r="I12" t="str"/>
      <x:c r="J12" t="str">
        <x:v>PENDIENTE</x:v>
      </x:c>
      <x:c r="K12" t="str"/>
      <x:c r="L12" t="str"/>
      <x:c r="M12" t="str"/>
    </x:row>
    <x:row r="13">
      <x:c r="A13" t="str"/>
      <x:c r="B13" t="str"/>
      <x:c r="C13" t="str"/>
      <x:c r="D13" t="str"/>
      <x:c r="E13" t="str"/>
      <x:c r="F13" t="str"/>
      <x:c r="G13" t="str"/>
      <x:c r="H13" t="str"/>
      <x:c r="I13" t="str"/>
      <x:c r="J13" t="str">
        <x:v>PENDIENTE</x:v>
      </x:c>
      <x:c r="K13" t="str"/>
      <x:c r="L13" t="str"/>
      <x:c r="M13" t="str"/>
    </x:row>
    <x:row r="14">
      <x:c r="A14" t="str"/>
      <x:c r="B14" t="str"/>
      <x:c r="C14" t="str"/>
      <x:c r="D14" t="str"/>
      <x:c r="E14" t="str"/>
      <x:c r="F14" t="str"/>
      <x:c r="G14" t="str"/>
      <x:c r="H14" t="str"/>
      <x:c r="I14" t="str"/>
      <x:c r="J14" t="str">
        <x:v>PENDIENTE</x:v>
      </x:c>
      <x:c r="K14" t="str"/>
      <x:c r="L14" t="str"/>
      <x:c r="M14" t="str"/>
    </x:row>
    <x:row r="15">
      <x:c r="A15" t="str"/>
      <x:c r="B15" t="str"/>
      <x:c r="C15" t="str"/>
      <x:c r="D15" t="str"/>
      <x:c r="E15" t="str"/>
      <x:c r="F15" t="str"/>
      <x:c r="G15" t="str"/>
      <x:c r="H15" t="str"/>
      <x:c r="I15" t="str"/>
      <x:c r="J15" t="str">
        <x:v>PENDIENTE</x:v>
      </x:c>
      <x:c r="K15" t="str"/>
      <x:c r="L15" t="str"/>
      <x:c r="M15" t="str"/>
    </x:row>
    <x:row r="16">
      <x:c r="A16" t="str"/>
      <x:c r="B16" t="str"/>
      <x:c r="C16" t="str"/>
      <x:c r="D16" t="str"/>
      <x:c r="E16" t="str"/>
      <x:c r="F16" t="str"/>
      <x:c r="G16" t="str"/>
      <x:c r="H16" t="str"/>
      <x:c r="I16" t="str"/>
      <x:c r="J16" t="str">
        <x:v>PENDIENTE</x:v>
      </x:c>
      <x:c r="K16" t="str"/>
      <x:c r="L16" t="str"/>
      <x:c r="M16" t="str"/>
    </x:row>
    <x:row r="17">
      <x:c r="A17" t="str"/>
      <x:c r="B17" t="str"/>
      <x:c r="C17" t="str"/>
      <x:c r="D17" t="str"/>
      <x:c r="E17" t="str"/>
      <x:c r="F17" t="str"/>
      <x:c r="G17" t="str"/>
      <x:c r="H17" t="str"/>
      <x:c r="I17" t="str"/>
      <x:c r="J17" t="str">
        <x:v>PENDIENTE</x:v>
      </x:c>
      <x:c r="K17" t="str"/>
      <x:c r="L17" t="str"/>
      <x:c r="M17" t="str"/>
    </x:row>
    <x:row r="18">
      <x:c r="A18" t="str"/>
      <x:c r="B18" t="str"/>
      <x:c r="C18" t="str"/>
      <x:c r="D18" t="str"/>
      <x:c r="E18" t="str"/>
      <x:c r="F18" t="str"/>
      <x:c r="G18" t="str"/>
      <x:c r="H18" t="str"/>
      <x:c r="I18" t="str"/>
      <x:c r="J18" t="str">
        <x:v>PENDIENTE</x:v>
      </x:c>
      <x:c r="K18" t="str"/>
      <x:c r="L18" t="str"/>
      <x:c r="M18" t="str"/>
    </x:row>
    <x:row r="19">
      <x:c r="A19" t="str"/>
      <x:c r="B19" t="str"/>
      <x:c r="C19" t="str"/>
      <x:c r="D19" t="str"/>
      <x:c r="E19" t="str"/>
      <x:c r="F19" t="str"/>
      <x:c r="G19" t="str"/>
      <x:c r="H19" t="str"/>
      <x:c r="I19" t="str"/>
      <x:c r="J19" t="str">
        <x:v>PENDIENTE</x:v>
      </x:c>
      <x:c r="K19" t="str"/>
      <x:c r="L19" t="str"/>
      <x:c r="M19" t="str"/>
    </x:row>
    <x:row r="20">
      <x:c r="A20" t="str"/>
      <x:c r="B20" t="str"/>
      <x:c r="C20" t="str"/>
      <x:c r="D20" t="str"/>
      <x:c r="E20" t="str"/>
      <x:c r="F20" t="str"/>
      <x:c r="G20" t="str"/>
      <x:c r="H20" t="str"/>
      <x:c r="I20" t="str"/>
      <x:c r="J20" t="str">
        <x:v>PENDIENTE</x:v>
      </x:c>
      <x:c r="K20" t="str"/>
      <x:c r="L20" t="str"/>
      <x:c r="M20" t="str"/>
    </x:row>
    <x:row r="21">
      <x:c r="A21" t="str"/>
      <x:c r="B21" t="str"/>
      <x:c r="C21" t="str"/>
      <x:c r="D21" t="str"/>
      <x:c r="E21" t="str"/>
      <x:c r="F21" t="str"/>
      <x:c r="G21" t="str"/>
      <x:c r="H21" t="str"/>
      <x:c r="I21" t="str"/>
      <x:c r="J21" t="str">
        <x:v>PENDIENTE</x:v>
      </x:c>
      <x:c r="K21" t="str"/>
      <x:c r="L21" t="str"/>
      <x:c r="M21" t="str"/>
    </x:row>
    <x:row r="22">
      <x:c r="A22" t="str"/>
      <x:c r="B22" t="str"/>
      <x:c r="C22" t="str"/>
      <x:c r="D22" t="str"/>
      <x:c r="E22" t="str"/>
      <x:c r="F22" t="str"/>
      <x:c r="G22" t="str"/>
      <x:c r="H22" t="str"/>
      <x:c r="I22" t="str"/>
      <x:c r="J22" t="str">
        <x:v>PENDIENTE</x:v>
      </x:c>
      <x:c r="K22" t="str"/>
      <x:c r="L22" t="str"/>
      <x:c r="M22" t="str"/>
    </x:row>
    <x:row r="23">
      <x:c r="A23" t="str"/>
      <x:c r="B23" t="str"/>
      <x:c r="C23" t="str"/>
      <x:c r="D23" t="str"/>
      <x:c r="E23" t="str"/>
      <x:c r="F23" t="str"/>
      <x:c r="G23" t="str"/>
      <x:c r="H23" t="str"/>
      <x:c r="I23" t="str"/>
      <x:c r="J23" t="str">
        <x:v>PENDIENTE</x:v>
      </x:c>
      <x:c r="K23" t="str"/>
      <x:c r="L23" t="str"/>
      <x:c r="M23" t="str"/>
    </x:row>
    <x:row r="24">
      <x:c r="A24" t="str"/>
      <x:c r="B24" t="str"/>
      <x:c r="C24" t="str"/>
      <x:c r="D24" t="str"/>
      <x:c r="E24" t="str"/>
      <x:c r="F24" t="str"/>
      <x:c r="G24" t="str"/>
      <x:c r="H24" t="str"/>
      <x:c r="I24" t="str"/>
      <x:c r="J24" t="str">
        <x:v>PENDIENTE</x:v>
      </x:c>
      <x:c r="K24" t="str"/>
      <x:c r="L24" t="str"/>
      <x:c r="M24" t="str"/>
    </x:row>
  </x:sheetData>
  <x:mergeCells>
    <x:mergeCell ref="A1:M1"/>
    <x:mergeCell ref="A2:M2"/>
  </x:mergeCells>
  <x:dataValidations count="1">
    <x:dataValidation type="list" sqref="J5:J24">
      <x:formula1>"PENDIENTE,APROBADO,RECHAZADO"</x:formula1>
    </x:dataValidation>
  </x:dataValidations>
  <x:pageMargins left="0.7" right="0.7" top="0.75" bottom="0.75" header="0.3" footer="0.3"/>
</x:worksheet>
</file>